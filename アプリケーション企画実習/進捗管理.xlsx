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16CC82AE-4975-4B35-9721-6D060D06448B}" xr6:coauthVersionLast="36" xr6:coauthVersionMax="47" xr10:uidLastSave="{00000000-0000-0000-0000-000000000000}"/>
  <bookViews>
    <workbookView xWindow="0" yWindow="0" windowWidth="28800" windowHeight="1126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sharedStrings.xml><?xml version="1.0" encoding="utf-8"?>
<sst xmlns="http://schemas.openxmlformats.org/spreadsheetml/2006/main" count="112" uniqueCount="42">
  <si>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</si>
  <si>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</si>
  <si>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</si>
  <si>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</si>
  <si>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</si>
  <si>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</si>
  <si>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</si>
  <si>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</si>
  <si>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</si>
  <si>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</si>
  <si>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</si>
  <si>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</si>
  <si>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</si>
  <si>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</si>
  <si>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</si>
  <si>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</si>
  <si>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</si>
  <si>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</si>
  <si>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</si>
  <si>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</si>
  <si>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</si>
  <si>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</si>
  <si>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</si>
  <si>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</si>
  <si>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</si>
  <si>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</si>
  <si>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</si>
  <si>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</si>
  <si>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</si>
  <si>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</si>
  <si>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</si>
  <si>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</si>
  <si>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</si>
  <si>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</si>
  <si>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</si>
  <si>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</si>
  <si>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</si>
  <si>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</si>
  <si>
    <t>欠席</t>
    <rPh sb="0" eb="2">
      <t>ケッセキ</t>
    </rPh>
    <phoneticPr fontId="19"/>
  </si>
  <si>
    <t>予定有、いない場合</t>
    <rPh sb="0" eb="2">
      <t>ヨテイ</t>
    </rPh>
    <rPh sb="2" eb="3">
      <t>ア</t>
    </rPh>
    <rPh sb="7" eb="9">
      <t>バアイ</t>
    </rPh>
    <phoneticPr fontId="19"/>
  </si>
  <si>
    <t>全員</t>
    <rPh sb="0" eb="2">
      <t>ゼンイン</t>
    </rPh>
    <phoneticPr fontId="19"/>
  </si>
  <si>
    <t>欠席</t>
    <rPh sb="0" eb="2">
      <t>ケッセキ</t>
    </rPh>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</si>
</sst>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5"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s>
  <fills count="5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
      <patternFill patternType="solid">
        <fgColor theme="5" tint="0.39997558519241921"/>
        <bgColor indexed="64"/>
      </patternFill>
    </fill>
  </fills>
  <borders count="6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C0C0C0"/>
      </left>
      <right style="thin">
        <color theme="0" tint="-0.24994659260841701"/>
      </right>
      <top style="dotted">
        <color theme="0" tint="-0.24994659260841701"/>
      </top>
      <bottom style="dotted">
        <color theme="0" tint="-0.24994659260841701"/>
      </bottom>
      <diagonal/>
    </border>
    <border>
      <left style="thin">
        <color rgb="FFC0C0C0"/>
      </left>
      <right style="thin">
        <color rgb="FFC0C0C0"/>
      </right>
      <top style="dotted">
        <color theme="0" tint="-0.24994659260841701"/>
      </top>
      <bottom style="dotted">
        <color theme="0" tint="-0.24994659260841701"/>
      </bottom>
      <diagonal/>
    </border>
    <border>
      <left style="thin">
        <color rgb="FFC0C0C0"/>
      </left>
      <right style="thin">
        <color auto="1"/>
      </right>
      <top style="dotted">
        <color theme="0" tint="-0.24994659260841701"/>
      </top>
      <bottom style="dotted">
        <color theme="0" tint="-0.2499465926084170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45">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xf numFmtId="0" fontId="24" fillId="50" borderId="0" xfId="0" applyFont="1" applyFill="1"/>
    <xf numFmtId="0" fontId="24" fillId="50" borderId="58" xfId="0" applyFont="1" applyFill="1" applyBorder="1"/>
    <xf numFmtId="0" fontId="24" fillId="48" borderId="60" xfId="0" applyFont="1" applyFill="1" applyBorder="1" applyAlignment="1">
      <alignment vertical="center"/>
    </xf>
    <xf numFmtId="0" fontId="24" fillId="48" borderId="59" xfId="0" applyFont="1" applyFill="1" applyBorder="1" applyAlignment="1">
      <alignment vertical="center"/>
    </xf>
    <xf numFmtId="0" fontId="24" fillId="43" borderId="23" xfId="0" applyFont="1" applyFill="1" applyBorder="1" applyAlignment="1">
      <alignment vertical="center"/>
    </xf>
    <xf numFmtId="0" fontId="24" fillId="43" borderId="33" xfId="0" applyFont="1" applyFill="1" applyBorder="1" applyAlignment="1">
      <alignment vertical="center"/>
    </xf>
    <xf numFmtId="0" fontId="24" fillId="45" borderId="61" xfId="0" applyFont="1" applyFill="1" applyBorder="1" applyAlignment="1">
      <alignment vertical="center"/>
    </xf>
    <xf numFmtId="0" fontId="24" fillId="48" borderId="18" xfId="0" applyFont="1" applyFill="1" applyBorder="1" applyAlignment="1">
      <alignment vertical="center"/>
    </xf>
    <xf numFmtId="0" fontId="24" fillId="48" borderId="34" xfId="0" applyFont="1" applyFill="1" applyBorder="1" applyAlignment="1">
      <alignment vertical="center"/>
    </xf>
    <xf numFmtId="0" fontId="24" fillId="48" borderId="27" xfId="0" applyFont="1" applyFill="1" applyBorder="1" applyAlignment="1">
      <alignment vertical="center"/>
    </xf>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8">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7"/>
      <tableStyleElement type="headerRow" dxfId="26"/>
      <tableStyleElement type="totalRow" dxfId="25"/>
      <tableStyleElement type="firstColumn" dxfId="24"/>
      <tableStyleElement type="lastColumn" dxfId="23"/>
      <tableStyleElement type="firstRowStripe" dxfId="22"/>
      <tableStyleElement type="secondRowStripe" dxfId="21"/>
      <tableStyleElement type="firstColumnStripe" dxfId="20"/>
      <tableStyleElement type="secondColumnStripe" dxfId="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FF66"/>
      <color rgb="FFC0C0C0"/>
      <color rgb="FF969696"/>
      <color rgb="FFFFFF99"/>
      <color rgb="FFFFFFCC"/>
      <color rgb="FF215881"/>
      <color rgb="FF42648A"/>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zoomScale="70" zoomScaleNormal="70" zoomScalePageLayoutView="70" workbookViewId="0">
      <pane xSplit="47" topLeftCell="BI1" activePane="topRight" state="frozen"/>
      <selection pane="topRight" activeCell="BI16" sqref="BI16"/>
    </sheetView>
  </sheetViews>
  <sheetFormatPr defaultColWidth="8.77734375" defaultRowHeight="30" customHeight="1" x14ac:dyDescent="0.25"/>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customWidth="1"/>
    <col min="49" max="68" width="11.44140625" style="6" bestFit="1" customWidth="1"/>
    <col min="69" max="16384" width="8.77734375" style="6"/>
  </cols>
  <sheetData>
    <row r="1" spans="1:68" ht="21.6" customHeight="1" x14ac:dyDescent="0.45">
      <c r="A1" s="1"/>
      <c r="B1" s="2"/>
      <c r="C1" s="3"/>
      <c r="D1" s="4"/>
      <c r="E1" s="5"/>
      <c r="F1" s="7"/>
    </row>
    <row r="2" spans="1:68" ht="30" customHeight="1" x14ac:dyDescent="0.45">
      <c r="A2" s="8" t="s">
        <v>0</v>
      </c>
      <c r="B2" s="2" t="s">
        <v>35</v>
      </c>
      <c r="F2" s="10"/>
      <c r="I2" s="112"/>
      <c r="J2" s="6" t="s">
        <v>36</v>
      </c>
      <c r="M2" s="132"/>
      <c r="N2" s="6" t="s">
        <v>37</v>
      </c>
    </row>
    <row r="3" spans="1:68" ht="10.9" customHeight="1" x14ac:dyDescent="0.45">
      <c r="B3" s="2"/>
      <c r="F3" s="10"/>
    </row>
    <row r="4" spans="1:68" ht="22.9" customHeight="1" x14ac:dyDescent="0.45">
      <c r="A4" s="8" t="s">
        <v>1</v>
      </c>
      <c r="B4" s="91"/>
      <c r="C4" s="92"/>
      <c r="D4" s="144"/>
      <c r="E4" s="144"/>
    </row>
    <row r="5" spans="1:68" ht="25.9" customHeight="1" x14ac:dyDescent="0.3">
      <c r="A5" s="1" t="s">
        <v>2</v>
      </c>
      <c r="B5" s="14" t="s">
        <v>28</v>
      </c>
      <c r="C5" s="15"/>
      <c r="D5" s="55"/>
      <c r="E5" s="14"/>
      <c r="F5" s="139">
        <f>D10</f>
        <v>46273</v>
      </c>
      <c r="G5" s="140"/>
      <c r="H5" s="140"/>
      <c r="I5" s="140"/>
      <c r="J5" s="140"/>
      <c r="K5" s="140"/>
      <c r="L5" s="141"/>
      <c r="M5" s="139">
        <f>M6</f>
        <v>46280</v>
      </c>
      <c r="N5" s="140"/>
      <c r="O5" s="140"/>
      <c r="P5" s="140"/>
      <c r="Q5" s="140"/>
      <c r="R5" s="140"/>
      <c r="S5" s="141"/>
      <c r="T5" s="142">
        <f>T6</f>
        <v>46287</v>
      </c>
      <c r="U5" s="140"/>
      <c r="V5" s="140"/>
      <c r="W5" s="140"/>
      <c r="X5" s="140"/>
      <c r="Y5" s="140"/>
      <c r="Z5" s="143"/>
      <c r="AA5" s="139">
        <f>AA6</f>
        <v>46294</v>
      </c>
      <c r="AB5" s="140"/>
      <c r="AC5" s="140"/>
      <c r="AD5" s="140"/>
      <c r="AE5" s="140"/>
      <c r="AF5" s="140"/>
      <c r="AG5" s="141"/>
      <c r="AH5" s="142">
        <f>AH6</f>
        <v>46301</v>
      </c>
      <c r="AI5" s="140"/>
      <c r="AJ5" s="140"/>
      <c r="AK5" s="140"/>
      <c r="AL5" s="140"/>
      <c r="AM5" s="140"/>
      <c r="AN5" s="143"/>
      <c r="AO5" s="139">
        <f>AO6</f>
        <v>46308</v>
      </c>
      <c r="AP5" s="140"/>
      <c r="AQ5" s="140"/>
      <c r="AR5" s="140"/>
      <c r="AS5" s="140"/>
      <c r="AT5" s="140"/>
      <c r="AU5" s="141"/>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x14ac:dyDescent="0.25">
      <c r="A6" s="1" t="s">
        <v>3</v>
      </c>
      <c r="D6" s="6"/>
      <c r="F6" s="119">
        <f>F5</f>
        <v>46273</v>
      </c>
      <c r="G6" s="25">
        <f>F6+1</f>
        <v>46274</v>
      </c>
      <c r="H6" s="25">
        <f t="shared" ref="H6:AN6" si="0">G6+1</f>
        <v>46275</v>
      </c>
      <c r="I6" s="121">
        <f t="shared" si="0"/>
        <v>46276</v>
      </c>
      <c r="J6" s="25">
        <f t="shared" si="0"/>
        <v>46277</v>
      </c>
      <c r="K6" s="22">
        <f t="shared" si="0"/>
        <v>46278</v>
      </c>
      <c r="L6" s="123">
        <f t="shared" si="0"/>
        <v>46279</v>
      </c>
      <c r="M6" s="119">
        <f>L6+1</f>
        <v>46280</v>
      </c>
      <c r="N6" s="25">
        <f>M6+1</f>
        <v>46281</v>
      </c>
      <c r="O6" s="121">
        <f t="shared" si="0"/>
        <v>46282</v>
      </c>
      <c r="P6" s="121">
        <f t="shared" si="0"/>
        <v>46283</v>
      </c>
      <c r="Q6" s="25">
        <f t="shared" si="0"/>
        <v>46284</v>
      </c>
      <c r="R6" s="24">
        <f t="shared" si="0"/>
        <v>46285</v>
      </c>
      <c r="S6" s="113">
        <f t="shared" si="0"/>
        <v>46286</v>
      </c>
      <c r="T6" s="28">
        <f>S6+1</f>
        <v>46287</v>
      </c>
      <c r="U6" s="25">
        <f>T6+1</f>
        <v>46288</v>
      </c>
      <c r="V6" s="121">
        <f t="shared" si="0"/>
        <v>46289</v>
      </c>
      <c r="W6" s="121">
        <f t="shared" si="0"/>
        <v>46290</v>
      </c>
      <c r="X6" s="25">
        <f t="shared" si="0"/>
        <v>46291</v>
      </c>
      <c r="Y6" s="24">
        <f t="shared" si="0"/>
        <v>46292</v>
      </c>
      <c r="Z6" s="125">
        <f t="shared" si="0"/>
        <v>46293</v>
      </c>
      <c r="AA6" s="119">
        <f>Z6+1</f>
        <v>46294</v>
      </c>
      <c r="AB6" s="121">
        <f>AA6+1</f>
        <v>46295</v>
      </c>
      <c r="AC6" s="121">
        <f t="shared" si="0"/>
        <v>46296</v>
      </c>
      <c r="AD6" s="121">
        <f t="shared" si="0"/>
        <v>46297</v>
      </c>
      <c r="AE6" s="25">
        <f t="shared" si="0"/>
        <v>46298</v>
      </c>
      <c r="AF6" s="24">
        <f t="shared" si="0"/>
        <v>46299</v>
      </c>
      <c r="AG6" s="123">
        <f t="shared" si="0"/>
        <v>46300</v>
      </c>
      <c r="AH6" s="127">
        <f>AG6+1</f>
        <v>46301</v>
      </c>
      <c r="AI6" s="121">
        <f>AH6+1</f>
        <v>46302</v>
      </c>
      <c r="AJ6" s="121">
        <f t="shared" si="0"/>
        <v>46303</v>
      </c>
      <c r="AK6" s="25">
        <f t="shared" si="0"/>
        <v>46304</v>
      </c>
      <c r="AL6" s="25">
        <f t="shared" si="0"/>
        <v>46305</v>
      </c>
      <c r="AM6" s="24">
        <f t="shared" si="0"/>
        <v>46306</v>
      </c>
      <c r="AN6" s="27">
        <f t="shared" si="0"/>
        <v>46307</v>
      </c>
      <c r="AO6" s="119">
        <f>AN6+1</f>
        <v>46308</v>
      </c>
      <c r="AP6" s="121">
        <f>AO6+1</f>
        <v>46309</v>
      </c>
      <c r="AQ6" s="121">
        <f t="shared" ref="AQ6" si="1">AP6+1</f>
        <v>46310</v>
      </c>
      <c r="AR6" s="121">
        <f t="shared" ref="AR6" si="2">AQ6+1</f>
        <v>46311</v>
      </c>
      <c r="AS6" s="25">
        <f t="shared" ref="AS6" si="3">AR6+1</f>
        <v>46312</v>
      </c>
      <c r="AT6" s="24">
        <f t="shared" ref="AT6" si="4">AS6+1</f>
        <v>46313</v>
      </c>
      <c r="AU6" s="31">
        <f t="shared" ref="AU6" si="5">AT6+1</f>
        <v>46314</v>
      </c>
      <c r="AV6" s="102">
        <v>46279</v>
      </c>
      <c r="AW6" s="102">
        <v>46280</v>
      </c>
      <c r="AX6" s="102">
        <v>46282</v>
      </c>
      <c r="AY6" s="102">
        <v>46283</v>
      </c>
      <c r="AZ6" s="102">
        <v>46289</v>
      </c>
      <c r="BA6" s="102">
        <v>46290</v>
      </c>
      <c r="BB6" s="102">
        <v>46293</v>
      </c>
      <c r="BC6" s="102">
        <v>46295</v>
      </c>
      <c r="BD6" s="102">
        <v>46296</v>
      </c>
      <c r="BE6" s="102">
        <v>46297</v>
      </c>
      <c r="BF6" s="102">
        <v>46300</v>
      </c>
      <c r="BG6" s="102">
        <v>46301</v>
      </c>
      <c r="BH6" s="102">
        <v>46302</v>
      </c>
      <c r="BI6" s="102">
        <v>46303</v>
      </c>
      <c r="BJ6" s="102"/>
      <c r="BK6" s="102"/>
      <c r="BL6" s="102"/>
      <c r="BM6" s="102"/>
      <c r="BN6" s="102"/>
      <c r="BO6" s="102"/>
      <c r="BP6" s="102"/>
    </row>
    <row r="7" spans="1:68" ht="30" customHeight="1" thickBot="1" x14ac:dyDescent="0.3">
      <c r="A7" s="1" t="s">
        <v>4</v>
      </c>
      <c r="B7" s="45" t="s">
        <v>15</v>
      </c>
      <c r="C7" s="46" t="s">
        <v>12</v>
      </c>
      <c r="D7" s="46" t="s">
        <v>10</v>
      </c>
      <c r="E7" s="47" t="s">
        <v>11</v>
      </c>
      <c r="F7" s="120" t="str">
        <f t="shared" ref="F7:AK7" si="6">LEFT(TEXT(F6,"aaa"),1)</f>
        <v>火</v>
      </c>
      <c r="G7" s="23" t="str">
        <f t="shared" si="6"/>
        <v>水</v>
      </c>
      <c r="H7" s="23" t="str">
        <f t="shared" si="6"/>
        <v>木</v>
      </c>
      <c r="I7" s="122" t="str">
        <f t="shared" si="6"/>
        <v>金</v>
      </c>
      <c r="J7" s="23" t="str">
        <f t="shared" si="6"/>
        <v>土</v>
      </c>
      <c r="K7" s="117" t="str">
        <f t="shared" si="6"/>
        <v>日</v>
      </c>
      <c r="L7" s="124" t="str">
        <f t="shared" si="6"/>
        <v>月</v>
      </c>
      <c r="M7" s="120" t="str">
        <f t="shared" si="6"/>
        <v>火</v>
      </c>
      <c r="N7" s="23" t="str">
        <f t="shared" si="6"/>
        <v>水</v>
      </c>
      <c r="O7" s="122" t="str">
        <f t="shared" si="6"/>
        <v>木</v>
      </c>
      <c r="P7" s="122" t="str">
        <f t="shared" si="6"/>
        <v>金</v>
      </c>
      <c r="Q7" s="23" t="str">
        <f t="shared" si="6"/>
        <v>土</v>
      </c>
      <c r="R7" s="118" t="str">
        <f t="shared" si="6"/>
        <v>日</v>
      </c>
      <c r="S7" s="114" t="str">
        <f t="shared" si="6"/>
        <v>月</v>
      </c>
      <c r="T7" s="29" t="str">
        <f t="shared" si="6"/>
        <v>火</v>
      </c>
      <c r="U7" s="23" t="str">
        <f t="shared" si="6"/>
        <v>水</v>
      </c>
      <c r="V7" s="122" t="str">
        <f t="shared" si="6"/>
        <v>木</v>
      </c>
      <c r="W7" s="122" t="str">
        <f t="shared" si="6"/>
        <v>金</v>
      </c>
      <c r="X7" s="23" t="str">
        <f t="shared" si="6"/>
        <v>土</v>
      </c>
      <c r="Y7" s="118" t="str">
        <f t="shared" si="6"/>
        <v>日</v>
      </c>
      <c r="Z7" s="126" t="str">
        <f t="shared" si="6"/>
        <v>月</v>
      </c>
      <c r="AA7" s="120" t="str">
        <f t="shared" si="6"/>
        <v>火</v>
      </c>
      <c r="AB7" s="122" t="str">
        <f t="shared" si="6"/>
        <v>水</v>
      </c>
      <c r="AC7" s="122" t="str">
        <f t="shared" si="6"/>
        <v>木</v>
      </c>
      <c r="AD7" s="122" t="str">
        <f t="shared" si="6"/>
        <v>金</v>
      </c>
      <c r="AE7" s="23" t="str">
        <f t="shared" si="6"/>
        <v>土</v>
      </c>
      <c r="AF7" s="118" t="str">
        <f t="shared" si="6"/>
        <v>日</v>
      </c>
      <c r="AG7" s="124" t="str">
        <f t="shared" si="6"/>
        <v>月</v>
      </c>
      <c r="AH7" s="128" t="str">
        <f t="shared" si="6"/>
        <v>火</v>
      </c>
      <c r="AI7" s="122" t="str">
        <f t="shared" si="6"/>
        <v>水</v>
      </c>
      <c r="AJ7" s="122" t="str">
        <f t="shared" si="6"/>
        <v>木</v>
      </c>
      <c r="AK7" s="23" t="str">
        <f t="shared" si="6"/>
        <v>金</v>
      </c>
      <c r="AL7" s="23" t="str">
        <f t="shared" ref="AL7:AR7" si="7">LEFT(TEXT(AL6,"aaa"),1)</f>
        <v>土</v>
      </c>
      <c r="AM7" s="118" t="str">
        <f t="shared" si="7"/>
        <v>日</v>
      </c>
      <c r="AN7" s="115" t="str">
        <f t="shared" si="7"/>
        <v>月</v>
      </c>
      <c r="AO7" s="120" t="str">
        <f t="shared" si="7"/>
        <v>火</v>
      </c>
      <c r="AP7" s="122" t="str">
        <f t="shared" si="7"/>
        <v>水</v>
      </c>
      <c r="AQ7" s="122" t="str">
        <f t="shared" si="7"/>
        <v>木</v>
      </c>
      <c r="AR7" s="122" t="str">
        <f t="shared" si="7"/>
        <v>金</v>
      </c>
      <c r="AS7" s="23" t="str">
        <f t="shared" ref="AS7:AU7" si="8">LEFT(TEXT(AS6,"aaa"),1)</f>
        <v>土</v>
      </c>
      <c r="AT7" s="118" t="str">
        <f t="shared" si="8"/>
        <v>日</v>
      </c>
      <c r="AU7" s="116"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x14ac:dyDescent="0.3">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x14ac:dyDescent="0.25">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x14ac:dyDescent="0.25">
      <c r="A10" s="1" t="s">
        <v>7</v>
      </c>
      <c r="B10" s="51" t="s">
        <v>16</v>
      </c>
      <c r="C10" s="43" t="s">
        <v>40</v>
      </c>
      <c r="D10" s="42">
        <v>46273</v>
      </c>
      <c r="E10" s="52">
        <v>46282</v>
      </c>
      <c r="F10" s="111"/>
      <c r="G10" s="71"/>
      <c r="H10" s="71"/>
      <c r="I10" s="112"/>
      <c r="J10" s="71"/>
      <c r="K10" s="71"/>
      <c r="L10" s="133"/>
      <c r="M10" s="134"/>
      <c r="N10" s="71"/>
      <c r="O10" s="112"/>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v>0.95</v>
      </c>
      <c r="AX10" s="99">
        <v>1</v>
      </c>
      <c r="AY10" s="99">
        <v>1</v>
      </c>
      <c r="AZ10" s="99">
        <v>1</v>
      </c>
      <c r="BA10" s="99">
        <v>1</v>
      </c>
      <c r="BB10" s="99">
        <v>1</v>
      </c>
      <c r="BC10" s="99">
        <v>1</v>
      </c>
      <c r="BD10" s="99">
        <v>1</v>
      </c>
      <c r="BE10" s="99">
        <v>1</v>
      </c>
      <c r="BF10" s="99">
        <v>1</v>
      </c>
      <c r="BG10" s="99">
        <v>1</v>
      </c>
      <c r="BH10" s="99">
        <v>1</v>
      </c>
      <c r="BI10" s="99">
        <v>1</v>
      </c>
      <c r="BJ10" s="99"/>
      <c r="BK10" s="99"/>
      <c r="BL10" s="99"/>
      <c r="BM10" s="99"/>
      <c r="BN10" s="99"/>
      <c r="BO10" s="99"/>
      <c r="BP10" s="99"/>
    </row>
    <row r="11" spans="1:68" s="11" customFormat="1" ht="30" customHeight="1" x14ac:dyDescent="0.25">
      <c r="A11" s="1" t="s">
        <v>8</v>
      </c>
      <c r="B11" s="56" t="s">
        <v>17</v>
      </c>
      <c r="C11" s="57" t="s">
        <v>40</v>
      </c>
      <c r="D11" s="58">
        <v>46280</v>
      </c>
      <c r="E11" s="59">
        <v>46289</v>
      </c>
      <c r="F11" s="70"/>
      <c r="G11" s="71"/>
      <c r="H11" s="71"/>
      <c r="I11" s="71"/>
      <c r="J11" s="71"/>
      <c r="K11" s="71"/>
      <c r="L11" s="133"/>
      <c r="M11" s="134"/>
      <c r="N11" s="71"/>
      <c r="O11" s="112"/>
      <c r="P11" s="112"/>
      <c r="Q11" s="71"/>
      <c r="R11" s="71"/>
      <c r="S11" s="85"/>
      <c r="T11" s="77"/>
      <c r="U11" s="71"/>
      <c r="V11" s="112"/>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v>0.2</v>
      </c>
      <c r="AX11" s="99">
        <v>0.7</v>
      </c>
      <c r="AY11" s="99">
        <v>1</v>
      </c>
      <c r="AZ11" s="99">
        <v>1</v>
      </c>
      <c r="BA11" s="99">
        <v>1</v>
      </c>
      <c r="BB11" s="99">
        <v>1</v>
      </c>
      <c r="BC11" s="99">
        <v>1</v>
      </c>
      <c r="BD11" s="99">
        <v>1</v>
      </c>
      <c r="BE11" s="99">
        <v>1</v>
      </c>
      <c r="BF11" s="99">
        <v>1</v>
      </c>
      <c r="BG11" s="99">
        <v>1</v>
      </c>
      <c r="BH11" s="99">
        <v>1</v>
      </c>
      <c r="BI11" s="99">
        <v>1</v>
      </c>
      <c r="BJ11" s="99"/>
      <c r="BK11" s="99"/>
      <c r="BL11" s="99"/>
      <c r="BM11" s="99"/>
      <c r="BN11" s="99"/>
      <c r="BO11" s="99"/>
      <c r="BP11" s="99"/>
    </row>
    <row r="12" spans="1:68" s="11" customFormat="1" ht="30" customHeight="1" x14ac:dyDescent="0.25">
      <c r="A12" s="1"/>
      <c r="B12" s="51" t="s">
        <v>18</v>
      </c>
      <c r="C12" s="43" t="s">
        <v>40</v>
      </c>
      <c r="D12" s="42">
        <v>46283</v>
      </c>
      <c r="E12" s="52">
        <v>46293</v>
      </c>
      <c r="F12" s="70"/>
      <c r="G12" s="71"/>
      <c r="H12" s="71"/>
      <c r="I12" s="71"/>
      <c r="J12" s="71"/>
      <c r="K12" s="86"/>
      <c r="L12" s="135"/>
      <c r="M12" s="70"/>
      <c r="N12" s="86"/>
      <c r="O12" s="131"/>
      <c r="P12" s="132"/>
      <c r="Q12" s="71"/>
      <c r="R12" s="71"/>
      <c r="S12" s="85"/>
      <c r="T12" s="77"/>
      <c r="U12" s="86"/>
      <c r="V12" s="112"/>
      <c r="W12" s="112"/>
      <c r="X12" s="77"/>
      <c r="Y12" s="86"/>
      <c r="Z12" s="112"/>
      <c r="AA12" s="77"/>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9">
        <v>0</v>
      </c>
      <c r="AY12" s="99">
        <v>0.05</v>
      </c>
      <c r="AZ12" s="99">
        <v>0.15</v>
      </c>
      <c r="BA12" s="99">
        <v>0.2</v>
      </c>
      <c r="BB12" s="99">
        <v>0.6</v>
      </c>
      <c r="BC12" s="99">
        <v>0.8</v>
      </c>
      <c r="BD12" s="99">
        <v>1</v>
      </c>
      <c r="BE12" s="99">
        <v>1</v>
      </c>
      <c r="BF12" s="99">
        <v>1</v>
      </c>
      <c r="BG12" s="99">
        <v>1</v>
      </c>
      <c r="BH12" s="99">
        <v>1</v>
      </c>
      <c r="BI12" s="99">
        <v>1</v>
      </c>
      <c r="BJ12" s="98"/>
      <c r="BK12" s="98"/>
      <c r="BL12" s="98"/>
      <c r="BM12" s="98"/>
      <c r="BN12" s="98"/>
      <c r="BO12" s="98"/>
      <c r="BP12" s="98"/>
    </row>
    <row r="13" spans="1:68" s="11" customFormat="1" ht="30" customHeight="1" thickBot="1" x14ac:dyDescent="0.3">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x14ac:dyDescent="0.25">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x14ac:dyDescent="0.25">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134"/>
      <c r="AB15" s="134"/>
      <c r="AC15" s="134"/>
      <c r="AD15" s="134"/>
      <c r="AE15" s="71"/>
      <c r="AF15" s="71"/>
      <c r="AG15" s="137"/>
      <c r="AH15" s="138"/>
      <c r="AI15" s="136"/>
      <c r="AJ15" s="71"/>
      <c r="AK15" s="71"/>
      <c r="AL15" s="71"/>
      <c r="AM15" s="71"/>
      <c r="AN15" s="86"/>
      <c r="AO15" s="70"/>
      <c r="AP15" s="71"/>
      <c r="AQ15" s="71"/>
      <c r="AR15" s="71"/>
      <c r="AS15" s="71"/>
      <c r="AT15" s="71"/>
      <c r="AU15" s="85"/>
      <c r="AV15" s="99">
        <v>0</v>
      </c>
      <c r="AW15" s="99">
        <v>0</v>
      </c>
      <c r="AX15" s="99">
        <v>0</v>
      </c>
      <c r="AY15" s="99">
        <v>0</v>
      </c>
      <c r="AZ15" s="99">
        <v>0</v>
      </c>
      <c r="BA15" s="99">
        <v>0</v>
      </c>
      <c r="BB15" s="99">
        <v>0</v>
      </c>
      <c r="BC15" s="99">
        <v>0.15</v>
      </c>
      <c r="BD15" s="99">
        <v>0.3</v>
      </c>
      <c r="BE15" s="99">
        <v>0.7</v>
      </c>
      <c r="BF15" s="99">
        <v>0.85</v>
      </c>
      <c r="BG15" s="99">
        <v>0.9</v>
      </c>
      <c r="BH15" s="99">
        <v>0.9</v>
      </c>
      <c r="BI15" s="99">
        <v>1</v>
      </c>
      <c r="BJ15" s="98"/>
      <c r="BK15" s="98"/>
      <c r="BL15" s="98"/>
      <c r="BM15" s="98"/>
      <c r="BN15" s="98"/>
      <c r="BO15" s="98"/>
      <c r="BP15" s="98"/>
    </row>
    <row r="16" spans="1:68" s="11" customFormat="1" ht="30" customHeight="1" x14ac:dyDescent="0.25">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71"/>
      <c r="AK16" s="71"/>
      <c r="AL16" s="71"/>
      <c r="AM16" s="71"/>
      <c r="AN16" s="86"/>
      <c r="AO16" s="70"/>
      <c r="AP16" s="71"/>
      <c r="AQ16" s="71"/>
      <c r="AR16" s="71"/>
      <c r="AS16" s="71"/>
      <c r="AT16" s="71"/>
      <c r="AU16" s="85"/>
      <c r="AV16" s="99">
        <v>0</v>
      </c>
      <c r="AW16" s="99">
        <v>0</v>
      </c>
      <c r="AX16" s="99">
        <v>0</v>
      </c>
      <c r="AY16" s="99">
        <v>0</v>
      </c>
      <c r="AZ16" s="99">
        <v>0</v>
      </c>
      <c r="BA16" s="99">
        <v>0</v>
      </c>
      <c r="BB16" s="99">
        <v>0</v>
      </c>
      <c r="BC16" s="99">
        <v>0</v>
      </c>
      <c r="BD16" s="99">
        <v>0</v>
      </c>
      <c r="BE16" s="99">
        <v>0</v>
      </c>
      <c r="BF16" s="99">
        <v>0</v>
      </c>
      <c r="BG16" s="99">
        <v>0</v>
      </c>
      <c r="BH16" s="99">
        <v>0</v>
      </c>
      <c r="BI16" s="99">
        <v>0</v>
      </c>
      <c r="BJ16" s="98"/>
      <c r="BK16" s="98"/>
      <c r="BL16" s="98"/>
      <c r="BM16" s="98"/>
      <c r="BN16" s="98"/>
      <c r="BO16" s="98"/>
      <c r="BP16" s="98"/>
    </row>
    <row r="17" spans="1:68" s="11" customFormat="1" ht="30" customHeight="1" x14ac:dyDescent="0.25">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71"/>
      <c r="AK17" s="71"/>
      <c r="AL17" s="71"/>
      <c r="AM17" s="71"/>
      <c r="AN17" s="86"/>
      <c r="AO17" s="70"/>
      <c r="AP17" s="71"/>
      <c r="AQ17" s="71"/>
      <c r="AR17" s="71"/>
      <c r="AS17" s="71"/>
      <c r="AT17" s="71"/>
      <c r="AU17" s="85"/>
      <c r="AV17" s="99">
        <v>0</v>
      </c>
      <c r="AW17" s="99">
        <v>0</v>
      </c>
      <c r="AX17" s="99">
        <v>0</v>
      </c>
      <c r="AY17" s="99">
        <v>0</v>
      </c>
      <c r="AZ17" s="99">
        <v>0</v>
      </c>
      <c r="BA17" s="99">
        <v>0</v>
      </c>
      <c r="BB17" s="99">
        <v>0</v>
      </c>
      <c r="BC17" s="99">
        <v>0</v>
      </c>
      <c r="BD17" s="99">
        <v>0</v>
      </c>
      <c r="BE17" s="99">
        <v>0</v>
      </c>
      <c r="BF17" s="99">
        <v>0</v>
      </c>
      <c r="BG17" s="99">
        <v>0</v>
      </c>
      <c r="BH17" s="99">
        <v>0</v>
      </c>
      <c r="BI17" s="99">
        <v>0</v>
      </c>
      <c r="BJ17" s="98"/>
      <c r="BK17" s="98"/>
      <c r="BL17" s="98"/>
      <c r="BM17" s="98"/>
      <c r="BN17" s="98"/>
      <c r="BO17" s="98"/>
      <c r="BP17" s="98"/>
    </row>
    <row r="18" spans="1:68" s="11" customFormat="1" ht="30" customHeight="1" x14ac:dyDescent="0.25">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x14ac:dyDescent="0.25">
      <c r="B20" s="110"/>
      <c r="C20" s="12"/>
      <c r="E20" s="13"/>
    </row>
    <row r="21" spans="1:68" ht="30" customHeight="1" x14ac:dyDescent="0.25">
      <c r="G21" s="129"/>
      <c r="H21" s="6" t="s">
        <v>39</v>
      </c>
    </row>
    <row r="22" spans="1:68" ht="30" customHeight="1" x14ac:dyDescent="0.3">
      <c r="E22" s="14" t="s">
        <v>26</v>
      </c>
    </row>
    <row r="23" spans="1:68" ht="30" customHeight="1" x14ac:dyDescent="0.35">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x14ac:dyDescent="0.35">
      <c r="E24" s="107" t="s">
        <v>30</v>
      </c>
      <c r="F24" s="104"/>
      <c r="G24" s="105"/>
      <c r="H24" s="105"/>
      <c r="I24" s="104"/>
      <c r="J24" s="105"/>
      <c r="K24" s="105"/>
      <c r="L24" s="104"/>
      <c r="M24" s="130" t="s">
        <v>38</v>
      </c>
      <c r="N24" s="105"/>
      <c r="O24" s="130" t="s">
        <v>38</v>
      </c>
      <c r="P24" s="130" t="s">
        <v>38</v>
      </c>
      <c r="Q24" s="105"/>
      <c r="R24" s="105"/>
      <c r="S24" s="105"/>
      <c r="T24" s="105"/>
      <c r="U24" s="105"/>
      <c r="V24" s="104"/>
      <c r="W24" s="104"/>
      <c r="X24" s="105"/>
      <c r="Y24" s="105"/>
      <c r="Z24" s="104"/>
      <c r="AA24" s="104"/>
      <c r="AB24" s="104"/>
      <c r="AC24" s="104"/>
      <c r="AD24" s="130" t="s">
        <v>38</v>
      </c>
      <c r="AE24" s="105"/>
      <c r="AF24" s="105"/>
      <c r="AG24" s="104"/>
      <c r="AH24" s="104"/>
      <c r="AI24" s="104"/>
      <c r="AJ24" s="104"/>
      <c r="AK24" s="105"/>
      <c r="AL24" s="105"/>
      <c r="AM24" s="105"/>
      <c r="AN24" s="105"/>
      <c r="AO24" s="108" t="s">
        <v>27</v>
      </c>
      <c r="AP24" s="108" t="s">
        <v>27</v>
      </c>
      <c r="AQ24" s="108" t="s">
        <v>27</v>
      </c>
      <c r="AR24" s="108" t="s">
        <v>27</v>
      </c>
      <c r="AS24" s="105"/>
      <c r="AT24" s="105"/>
      <c r="AU24" s="104"/>
    </row>
    <row r="25" spans="1:68" ht="30" customHeight="1" x14ac:dyDescent="0.35">
      <c r="E25" s="106" t="s">
        <v>31</v>
      </c>
      <c r="F25" s="104"/>
      <c r="G25" s="105"/>
      <c r="H25" s="105"/>
      <c r="I25" s="104"/>
      <c r="J25" s="105"/>
      <c r="K25" s="105"/>
      <c r="L25" s="104"/>
      <c r="M25" s="104"/>
      <c r="N25" s="105"/>
      <c r="O25" s="130" t="s">
        <v>38</v>
      </c>
      <c r="P25" s="130" t="s">
        <v>38</v>
      </c>
      <c r="Q25" s="105"/>
      <c r="R25" s="105"/>
      <c r="S25" s="105"/>
      <c r="T25" s="105"/>
      <c r="U25" s="105"/>
      <c r="V25" s="104"/>
      <c r="W25" s="104"/>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x14ac:dyDescent="0.35">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x14ac:dyDescent="0.35">
      <c r="E27" s="106" t="s">
        <v>33</v>
      </c>
      <c r="F27" s="104"/>
      <c r="G27" s="105"/>
      <c r="H27" s="105"/>
      <c r="I27" s="104"/>
      <c r="J27" s="105"/>
      <c r="K27" s="105"/>
      <c r="L27" s="104"/>
      <c r="M27" s="104"/>
      <c r="N27" s="105"/>
      <c r="O27" s="104"/>
      <c r="P27" s="104"/>
      <c r="Q27" s="105"/>
      <c r="R27" s="105"/>
      <c r="S27" s="105"/>
      <c r="T27" s="105"/>
      <c r="U27" s="105"/>
      <c r="V27" s="130" t="s">
        <v>38</v>
      </c>
      <c r="W27" s="104"/>
      <c r="X27" s="105"/>
      <c r="Y27" s="105"/>
      <c r="Z27" s="104"/>
      <c r="AA27" s="104"/>
      <c r="AB27" s="130" t="s">
        <v>38</v>
      </c>
      <c r="AC27" s="104"/>
      <c r="AD27" s="104"/>
      <c r="AE27" s="105"/>
      <c r="AF27" s="105"/>
      <c r="AG27" s="104"/>
      <c r="AH27" s="104"/>
      <c r="AI27" s="104"/>
      <c r="AJ27" s="104"/>
      <c r="AK27" s="105"/>
      <c r="AL27" s="105"/>
      <c r="AM27" s="105"/>
      <c r="AN27" s="105"/>
      <c r="AO27" s="104"/>
      <c r="AP27" s="104"/>
      <c r="AQ27" s="104"/>
      <c r="AR27" s="104"/>
      <c r="AS27" s="105"/>
      <c r="AT27" s="105"/>
      <c r="AU27" s="104"/>
    </row>
    <row r="28" spans="1:68" ht="30" customHeight="1" x14ac:dyDescent="0.35">
      <c r="E28" s="107" t="s">
        <v>34</v>
      </c>
      <c r="F28" s="104"/>
      <c r="G28" s="105"/>
      <c r="H28" s="105"/>
      <c r="I28" s="104"/>
      <c r="J28" s="105"/>
      <c r="K28" s="105"/>
      <c r="L28" s="104"/>
      <c r="M28" s="104"/>
      <c r="N28" s="105"/>
      <c r="O28" s="104"/>
      <c r="P28" s="104"/>
      <c r="Q28" s="105"/>
      <c r="R28" s="105"/>
      <c r="S28" s="105"/>
      <c r="T28" s="105"/>
      <c r="U28" s="105"/>
      <c r="V28" s="104"/>
      <c r="W28" s="130" t="s">
        <v>38</v>
      </c>
      <c r="X28" s="105"/>
      <c r="Y28" s="105"/>
      <c r="Z28" s="104"/>
      <c r="AA28" s="130" t="s">
        <v>41</v>
      </c>
      <c r="AB28" s="104"/>
      <c r="AC28" s="104"/>
      <c r="AD28" s="104"/>
      <c r="AE28" s="105"/>
      <c r="AF28" s="105"/>
      <c r="AG28" s="104"/>
      <c r="AH28" s="104"/>
      <c r="AI28" s="104"/>
      <c r="AJ28" s="104"/>
      <c r="AK28" s="105"/>
      <c r="AL28" s="105"/>
      <c r="AM28" s="105"/>
      <c r="AN28" s="105"/>
      <c r="AO28" s="104"/>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8">
    <cfRule type="expression" dxfId="18" priority="25">
      <formula>WEEKDAY(F$6,2)=6</formula>
    </cfRule>
    <cfRule type="expression" dxfId="17" priority="26">
      <formula>WEEKDAY(F$6,2)=7</formula>
    </cfRule>
  </conditionalFormatting>
  <conditionalFormatting sqref="G24:H28 J24:K28 N24:N28 Q24:U28 X24:Y28 AE24:AF28 AK24:AN28 AS23:AT28">
    <cfRule type="expression" dxfId="16" priority="21">
      <formula>WEEKDAY(G$6,2)=6</formula>
    </cfRule>
    <cfRule type="expression" dxfId="15" priority="22">
      <formula>WEEKDAY(G$6,2)=7</formula>
    </cfRule>
  </conditionalFormatting>
  <conditionalFormatting sqref="G23:H23 J23:K23 N23 Q23:U23 X23:Y23 AF23 AK23:AN23">
    <cfRule type="expression" dxfId="14" priority="17">
      <formula>WEEKDAY(G$6,2)=6</formula>
    </cfRule>
    <cfRule type="expression" dxfId="13" priority="18">
      <formula>WEEKDAY(G$6,2)=7</formula>
    </cfRule>
  </conditionalFormatting>
  <conditionalFormatting sqref="AE23">
    <cfRule type="expression" dxfId="12" priority="16">
      <formula>AND(AE$6&gt;=$D23,AE$6&lt;=$E23)</formula>
    </cfRule>
  </conditionalFormatting>
  <conditionalFormatting sqref="AE23">
    <cfRule type="expression" dxfId="11" priority="13">
      <formula>WEEKDAY(AE$6,2)=6</formula>
    </cfRule>
    <cfRule type="expression" dxfId="10" priority="14">
      <formula>WEEKDAY(AE$6,2)=7</formula>
    </cfRule>
  </conditionalFormatting>
  <conditionalFormatting sqref="I2">
    <cfRule type="expression" dxfId="9" priority="10">
      <formula>WEEKDAY(I$6,2)=6</formula>
    </cfRule>
    <cfRule type="expression" dxfId="8" priority="11">
      <formula>WEEKDAY(I$6,2)=7</formula>
    </cfRule>
  </conditionalFormatting>
  <conditionalFormatting sqref="M2">
    <cfRule type="expression" dxfId="7" priority="1">
      <formula>WEEKDAY(M$6,2)=6</formula>
    </cfRule>
    <cfRule type="expression" dxfId="6"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F6:AU18</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x14ac:dyDescent="0.2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x14ac:dyDescent="0.25"/>
  <cols>
    <col min="1" max="1" width="10.77734375" bestFit="1" customWidth="1"/>
  </cols>
  <sheetData>
    <row r="1" spans="1:1" x14ac:dyDescent="0.25">
      <c r="A1" s="82">
        <v>46023</v>
      </c>
    </row>
    <row r="2" spans="1:1" x14ac:dyDescent="0.25">
      <c r="A2" s="82">
        <v>46034</v>
      </c>
    </row>
    <row r="3" spans="1:1" x14ac:dyDescent="0.25">
      <c r="A3" s="82">
        <v>46064</v>
      </c>
    </row>
    <row r="4" spans="1:1" x14ac:dyDescent="0.25">
      <c r="A4" s="82">
        <v>46076</v>
      </c>
    </row>
    <row r="5" spans="1:1" x14ac:dyDescent="0.25">
      <c r="A5" s="82">
        <v>46101</v>
      </c>
    </row>
    <row r="6" spans="1:1" x14ac:dyDescent="0.25">
      <c r="A6" s="82">
        <v>46141</v>
      </c>
    </row>
    <row r="7" spans="1:1" x14ac:dyDescent="0.25">
      <c r="A7" s="82">
        <v>46145</v>
      </c>
    </row>
    <row r="8" spans="1:1" x14ac:dyDescent="0.25">
      <c r="A8" s="82">
        <v>46146</v>
      </c>
    </row>
    <row r="9" spans="1:1" x14ac:dyDescent="0.25">
      <c r="A9" s="82">
        <v>46147</v>
      </c>
    </row>
    <row r="10" spans="1:1" x14ac:dyDescent="0.25">
      <c r="A10" s="82">
        <v>46223</v>
      </c>
    </row>
    <row r="11" spans="1:1" x14ac:dyDescent="0.25">
      <c r="A11" s="82">
        <v>46245</v>
      </c>
    </row>
    <row r="12" spans="1:1" x14ac:dyDescent="0.25">
      <c r="A12" s="82">
        <v>46274</v>
      </c>
    </row>
    <row r="13" spans="1:1" x14ac:dyDescent="0.25">
      <c r="A13" s="82">
        <v>46275</v>
      </c>
    </row>
    <row r="14" spans="1:1" x14ac:dyDescent="0.25">
      <c r="A14" s="82">
        <v>46281</v>
      </c>
    </row>
    <row r="15" spans="1:1" x14ac:dyDescent="0.25">
      <c r="A15" s="82">
        <v>46286</v>
      </c>
    </row>
    <row r="16" spans="1:1" x14ac:dyDescent="0.25">
      <c r="A16" s="82">
        <v>46287</v>
      </c>
    </row>
    <row r="17" spans="1:1" x14ac:dyDescent="0.25">
      <c r="A17" s="82">
        <v>46288</v>
      </c>
    </row>
    <row r="18" spans="1:1" x14ac:dyDescent="0.25">
      <c r="A18" s="82">
        <v>46304</v>
      </c>
    </row>
    <row r="19" spans="1:1" x14ac:dyDescent="0.25">
      <c r="A19" s="82">
        <v>46307</v>
      </c>
    </row>
    <row r="20" spans="1:1" x14ac:dyDescent="0.25">
      <c r="A20" s="82">
        <v>46329</v>
      </c>
    </row>
    <row r="21" spans="1:1" x14ac:dyDescent="0.25">
      <c r="A21" s="82">
        <v>46349</v>
      </c>
    </row>
    <row r="22" spans="1:1" x14ac:dyDescent="0.25">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sharepoint/v3"/>
    <ds:schemaRef ds:uri="230e9df3-be65-4c73-a93b-d1236ebd677e"/>
    <ds:schemaRef ds:uri="http://purl.org/dc/terms/"/>
    <ds:schemaRef ds:uri="http://schemas.openxmlformats.org/package/2006/metadata/core-properties"/>
    <ds:schemaRef ds:uri="16c05727-aa75-4e4a-9b5f-8a80a1165891"/>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71af3243-3dd4-4a8d-8c0d-dd76da1f02a5"/>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2026-10-08T07:46:43Z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