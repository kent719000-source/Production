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codeName="ThisWorkbook"/>
  <xr:revisionPtr revIDLastSave="0" documentId="13_ncr:1_{7DC2ECF6-1319-40C8-B9BD-8A9E72D69311}" xr6:coauthVersionLast="36" xr6:coauthVersionMax="47" xr10:uidLastSave="{00000000-0000-0000-0000-000000000000}"/>
  <bookViews>
    <workbookView xWindow="0" yWindow="0" windowWidth="28800" windowHeight="11265" xr2:uid="{00000000-000D-0000-FFFF-FFFF00000000}"/>
  </bookViews>
  <sheets>
    <sheet name="スケジュール" sheetId="11" r:id="rId1"/>
    <sheet name="Sheet1" sheetId="13" r:id="rId2"/>
    <sheet name="祝日リスト" sheetId="12" r:id="rId3"/>
  </sheets>
  <definedNames>
    <definedName name="_xlnm.Print_Titles" localSheetId="0">スケジュール!$5:$7</definedName>
    <definedName name="タスク_開始" localSheetId="0">スケジュール!$D1</definedName>
    <definedName name="タスク_終了" localSheetId="0">スケジュール!$E1</definedName>
    <definedName name="タスク_進捗状況" localSheetId="0">スケジュール!#REF!</definedName>
    <definedName name="プロジェクトの開始">スケジュール!$D$4</definedName>
    <definedName name="今日" localSheetId="0">TODAY()</definedName>
    <definedName name="週表示">スケジュール!$D$5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11" l="1"/>
  <c r="F6" i="11"/>
  <c r="G6" i="11" s="1"/>
  <c r="H6" i="11" s="1"/>
  <c r="I6" i="11" s="1"/>
  <c r="F7" i="11" l="1"/>
  <c r="G7" i="11" l="1"/>
  <c r="H7" i="11" l="1"/>
  <c r="I7" i="11" l="1"/>
  <c r="J6" i="11"/>
  <c r="K6" i="11" l="1"/>
  <c r="J7" i="11"/>
  <c r="K7" i="11" l="1"/>
  <c r="L6" i="11"/>
  <c r="L7" i="11" l="1"/>
  <c r="M6" i="11"/>
  <c r="M5" i="11" s="1"/>
  <c r="M7" i="11" l="1"/>
  <c r="N6" i="11" l="1"/>
  <c r="O6" i="11" l="1"/>
  <c r="P6" i="11" l="1"/>
  <c r="Q6" i="11" l="1"/>
  <c r="R6" i="11" l="1"/>
  <c r="S6" i="11" l="1"/>
  <c r="T6" i="11" l="1"/>
  <c r="T7" i="11" s="1"/>
  <c r="S7" i="11"/>
  <c r="R7" i="11"/>
  <c r="Q7" i="11"/>
  <c r="P7" i="11"/>
  <c r="O7" i="11"/>
  <c r="N7" i="11"/>
  <c r="U6" i="11" l="1"/>
  <c r="T5" i="11"/>
  <c r="V6" i="11" l="1"/>
  <c r="V7" i="11" s="1"/>
  <c r="U7" i="11"/>
  <c r="W6" i="11" l="1"/>
  <c r="W7" i="11" s="1"/>
  <c r="X6" i="11" l="1"/>
  <c r="X7" i="11" s="1"/>
  <c r="Y6" i="11" l="1"/>
  <c r="Y7" i="11" s="1"/>
  <c r="Z6" i="11" l="1"/>
  <c r="Z7" i="11" s="1"/>
  <c r="AA6" i="11" l="1"/>
  <c r="AA7" i="11" s="1"/>
  <c r="AB6" i="11"/>
  <c r="AC6" i="11" l="1"/>
  <c r="AC7" i="11" s="1"/>
  <c r="AB7" i="11"/>
  <c r="AD6" i="11" l="1"/>
  <c r="AD7" i="11" s="1"/>
  <c r="AE6" i="11" l="1"/>
  <c r="AE7" i="11" s="1"/>
  <c r="AF6" i="11" l="1"/>
  <c r="AF7" i="11" s="1"/>
  <c r="AA5" i="11"/>
  <c r="AG6" i="11" l="1"/>
  <c r="AG7" i="11" s="1"/>
  <c r="AH6" i="11" l="1"/>
  <c r="AI6" i="11" s="1"/>
  <c r="AJ6" i="11" l="1"/>
  <c r="AK6" i="11" l="1"/>
  <c r="AL6" i="11" l="1"/>
  <c r="AM6" i="11" l="1"/>
  <c r="AN6" i="11" l="1"/>
  <c r="AM7" i="11"/>
  <c r="AL7" i="11"/>
  <c r="AK7" i="11"/>
  <c r="AJ7" i="11"/>
  <c r="AI7" i="11"/>
  <c r="AH7" i="11"/>
  <c r="AN7" i="11" l="1"/>
  <c r="AO6" i="11"/>
  <c r="AH5" i="11"/>
  <c r="AO7" i="11" l="1"/>
  <c r="AO5" i="11"/>
  <c r="AP6" i="11"/>
  <c r="AP7" i="11" l="1"/>
  <c r="AQ6" i="11"/>
  <c r="AQ7" i="11" l="1"/>
  <c r="AR6" i="11"/>
  <c r="AR7" i="11" l="1"/>
  <c r="AS6" i="11"/>
  <c r="AS7" i="11" l="1"/>
  <c r="AT6" i="11"/>
  <c r="AT7" i="11" l="1"/>
  <c r="AU6" i="11"/>
  <c r="AU7" i="11" s="1"/>
</calcChain>
</file>

<file path=xl/sharedStrings.xml><?xml version="1.0" encoding="utf-8"?>
<sst xmlns="http://schemas.openxmlformats.org/spreadsheetml/2006/main" count="114" uniqueCount="44">
  <si>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</si>
  <si>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</si>
  <si>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</si>
  <si>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</si>
  <si>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</si>
  <si>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</si>
  <si>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</si>
  <si>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</si>
  <si>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</si>
  <si>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</si>
  <si>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開始</t>
  </si>
  <si>
    <t>終了</t>
  </si>
  <si>
    <t>担当者</t>
    <phoneticPr fontId="19"/>
  </si>
  <si>
    <t>◎◎</t>
  </si>
  <si>
    <t>◎◎</t>
    <phoneticPr fontId="19"/>
  </si>
  <si>
    <t>タスク</t>
    <phoneticPr fontId="19"/>
  </si>
  <si>
    <t>要件定義</t>
    <rPh sb="0" eb="2">
      <t>ヨウケン</t>
    </rPh>
    <rPh sb="2" eb="4">
      <t>テイギ</t>
    </rPh>
    <phoneticPr fontId="19"/>
  </si>
  <si>
    <t>基本設計</t>
    <rPh sb="0" eb="2">
      <t>キホン</t>
    </rPh>
    <rPh sb="2" eb="4">
      <t>セッケイ</t>
    </rPh>
    <phoneticPr fontId="19"/>
  </si>
  <si>
    <t>詳細設計</t>
    <rPh sb="0" eb="2">
      <t>ショウサイ</t>
    </rPh>
    <rPh sb="2" eb="4">
      <t>セッケイ</t>
    </rPh>
    <phoneticPr fontId="19"/>
  </si>
  <si>
    <t>設計</t>
    <rPh sb="0" eb="2">
      <t>セッケイ</t>
    </rPh>
    <phoneticPr fontId="19"/>
  </si>
  <si>
    <t>実装</t>
    <rPh sb="0" eb="2">
      <t>ジッソウ</t>
    </rPh>
    <phoneticPr fontId="19"/>
  </si>
  <si>
    <t>テスト</t>
    <phoneticPr fontId="19"/>
  </si>
  <si>
    <t>発表</t>
    <rPh sb="0" eb="2">
      <t>ハッピョウ</t>
    </rPh>
    <phoneticPr fontId="19"/>
  </si>
  <si>
    <t>プログラム作成</t>
    <rPh sb="5" eb="7">
      <t>サクセイ</t>
    </rPh>
    <phoneticPr fontId="19"/>
  </si>
  <si>
    <t>進捗率</t>
    <rPh sb="0" eb="3">
      <t>シンチョクリツ</t>
    </rPh>
    <phoneticPr fontId="19"/>
  </si>
  <si>
    <t>終了時点</t>
    <rPh sb="0" eb="2">
      <t>シュウリョウ</t>
    </rPh>
    <rPh sb="2" eb="4">
      <t>ジテン</t>
    </rPh>
    <phoneticPr fontId="19"/>
  </si>
  <si>
    <t>個人予定</t>
    <rPh sb="0" eb="2">
      <t>コジン</t>
    </rPh>
    <rPh sb="2" eb="4">
      <t>ヨテイ</t>
    </rPh>
    <phoneticPr fontId="19"/>
  </si>
  <si>
    <t>就業</t>
    <rPh sb="0" eb="2">
      <t>シュウギョウ</t>
    </rPh>
    <phoneticPr fontId="19"/>
  </si>
  <si>
    <t>管理者：上田</t>
    <rPh sb="0" eb="3">
      <t>カンリシャ</t>
    </rPh>
    <rPh sb="4" eb="6">
      <t>ウエダ</t>
    </rPh>
    <phoneticPr fontId="19"/>
  </si>
  <si>
    <t>橋本</t>
    <rPh sb="0" eb="2">
      <t>ハシモト</t>
    </rPh>
    <phoneticPr fontId="19"/>
  </si>
  <si>
    <t>矢野</t>
    <rPh sb="0" eb="2">
      <t>ヤノ</t>
    </rPh>
    <phoneticPr fontId="19"/>
  </si>
  <si>
    <t>香川</t>
    <rPh sb="0" eb="2">
      <t>カガワ</t>
    </rPh>
    <phoneticPr fontId="19"/>
  </si>
  <si>
    <t>小川</t>
    <rPh sb="0" eb="2">
      <t>オガワ</t>
    </rPh>
    <phoneticPr fontId="19"/>
  </si>
  <si>
    <t>久保田</t>
    <rPh sb="0" eb="3">
      <t>クボタ</t>
    </rPh>
    <phoneticPr fontId="19"/>
  </si>
  <si>
    <t>上田</t>
    <rPh sb="0" eb="2">
      <t>ウエダ</t>
    </rPh>
    <phoneticPr fontId="19"/>
  </si>
  <si>
    <t>久曜上野小橋タイガース 進捗表（日単位）</t>
    <rPh sb="0" eb="1">
      <t>ヒサ</t>
    </rPh>
    <rPh sb="1" eb="2">
      <t>ヨウ</t>
    </rPh>
    <rPh sb="2" eb="4">
      <t>ウエノ</t>
    </rPh>
    <rPh sb="4" eb="6">
      <t>コバシ</t>
    </rPh>
    <rPh sb="12" eb="14">
      <t>シンチョク</t>
    </rPh>
    <rPh sb="14" eb="15">
      <t>ヒョウ</t>
    </rPh>
    <phoneticPr fontId="19"/>
  </si>
  <si>
    <t>終わったやつ</t>
    <rPh sb="0" eb="1">
      <t>オ</t>
    </rPh>
    <phoneticPr fontId="19"/>
  </si>
  <si>
    <t>これからのやつ</t>
    <phoneticPr fontId="19"/>
  </si>
  <si>
    <t>欠席</t>
    <rPh sb="0" eb="2">
      <t>ケッセキ</t>
    </rPh>
    <phoneticPr fontId="19"/>
  </si>
  <si>
    <t>予定有、いない場合</t>
    <rPh sb="0" eb="2">
      <t>ヨテイ</t>
    </rPh>
    <rPh sb="2" eb="3">
      <t>ア</t>
    </rPh>
    <rPh sb="7" eb="9">
      <t>バアイ</t>
    </rPh>
    <phoneticPr fontId="19"/>
  </si>
  <si>
    <t>全員</t>
    <rPh sb="0" eb="2">
      <t>ゼンイン</t>
    </rPh>
    <phoneticPr fontId="19"/>
  </si>
  <si>
    <t>欠席</t>
    <rPh sb="0" eb="2">
      <t>ケッセキ</t>
    </rPh>
    <phoneticPr fontId="19"/>
  </si>
  <si>
    <t>欠席</t>
    <rPh sb="0" eb="2">
      <t>ケッセキ</t>
    </rPh>
    <phoneticPr fontId="19"/>
  </si>
  <si>
    <t>欠席</t>
    <rPh sb="0" eb="2">
      <t>ケッセキ</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</si>
</sst>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 numFmtId="181" formatCode="yy/mm/dd;@"/>
  </numFmts>
  <fonts count="35"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sz val="6"/>
      <name val="ＭＳ Ｐゴシック"/>
      <family val="3"/>
      <charset val="128"/>
    </font>
    <font>
      <b/>
      <sz val="10"/>
      <name val="Meiryo UI"/>
      <family val="3"/>
      <charset val="128"/>
    </font>
    <font>
      <b/>
      <sz val="11"/>
      <color theme="0"/>
      <name val="Meiryo UI"/>
      <family val="3"/>
      <charset val="128"/>
    </font>
    <font>
      <b/>
      <sz val="22"/>
      <color theme="1" tint="0.34998626667073579"/>
      <name val="Meiryo UI"/>
      <family val="3"/>
      <charset val="128"/>
    </font>
    <font>
      <b/>
      <sz val="20"/>
      <color theme="4" tint="-0.249977111117893"/>
      <name val="Meiryo UI"/>
      <family val="3"/>
      <charset val="128"/>
    </font>
    <font>
      <b/>
      <sz val="11"/>
      <color theme="1"/>
      <name val="Meiryo UI"/>
      <family val="3"/>
      <charset val="128"/>
    </font>
    <font>
      <b/>
      <sz val="11"/>
      <name val="Meiryo UI"/>
      <family val="3"/>
      <charset val="128"/>
    </font>
    <font>
      <b/>
      <sz val="11"/>
      <color theme="1" tint="0.499984740745262"/>
      <name val="Meiryo UI"/>
      <family val="3"/>
      <charset val="128"/>
    </font>
    <font>
      <b/>
      <sz val="14"/>
      <color theme="1"/>
      <name val="Meiryo UI"/>
      <family val="3"/>
      <charset val="128"/>
    </font>
    <font>
      <b/>
      <sz val="16"/>
      <color theme="1"/>
      <name val="Meiryo UI"/>
      <family val="3"/>
      <charset val="128"/>
    </font>
    <font>
      <b/>
      <sz val="14"/>
      <name val="Meiryo UI"/>
      <family val="3"/>
      <charset val="128"/>
    </font>
    <font>
      <b/>
      <sz val="16"/>
      <color theme="0"/>
      <name val="Meiryo UI"/>
      <family val="3"/>
      <charset val="128"/>
    </font>
    <font>
      <b/>
      <sz val="14"/>
      <color rgb="FFFF0000"/>
      <name val="Meiryo UI"/>
      <family val="3"/>
      <charset val="128"/>
    </font>
    <font>
      <b/>
      <sz val="14"/>
      <color theme="1"/>
      <name val="メイリオ"/>
      <family val="3"/>
      <charset val="128"/>
    </font>
    <font>
      <b/>
      <sz val="18"/>
      <color theme="1"/>
      <name val="Meiryo UI"/>
      <family val="3"/>
      <charset val="128"/>
    </font>
    <font>
      <b/>
      <sz val="11"/>
      <color rgb="FFFF0000"/>
      <name val="Meiryo UI"/>
      <family val="3"/>
      <charset val="128"/>
    </font>
  </fonts>
  <fills count="5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theme="4"/>
      </patternFill>
    </fill>
    <fill>
      <patternFill patternType="solid">
        <fgColor rgb="FFFFFF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6" tint="0.39997558519241921"/>
        <bgColor indexed="64"/>
      </patternFill>
    </fill>
    <fill>
      <patternFill patternType="solid">
        <fgColor theme="0"/>
        <bgColor indexed="64"/>
      </patternFill>
    </fill>
    <fill>
      <patternFill patternType="solid">
        <fgColor theme="5" tint="0.39994506668294322"/>
        <bgColor indexed="64"/>
      </patternFill>
    </fill>
    <fill>
      <patternFill patternType="solid">
        <fgColor rgb="FFFF0000"/>
        <bgColor indexed="64"/>
      </patternFill>
    </fill>
    <fill>
      <patternFill patternType="solid">
        <fgColor rgb="FFFFFF66"/>
        <bgColor indexed="64"/>
      </patternFill>
    </fill>
    <fill>
      <patternFill patternType="solid">
        <fgColor theme="0" tint="-0.14999847407452621"/>
        <bgColor indexed="64"/>
      </patternFill>
    </fill>
    <fill>
      <patternFill patternType="solid">
        <fgColor theme="5" tint="0.39997558519241921"/>
        <bgColor indexed="64"/>
      </patternFill>
    </fill>
  </fills>
  <borders count="6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medium">
        <color theme="0" tint="-0.14996795556505021"/>
      </top>
      <bottom style="dotted">
        <color theme="0" tint="-0.24994659260841701"/>
      </bottom>
      <diagonal/>
    </border>
    <border>
      <left style="thin">
        <color theme="0" tint="-0.24994659260841701"/>
      </left>
      <right style="thin">
        <color theme="0" tint="-0.24994659260841701"/>
      </right>
      <top style="thin">
        <color theme="0" tint="-0.24994659260841701"/>
      </top>
      <bottom style="dotted">
        <color theme="0" tint="-0.24994659260841701"/>
      </bottom>
      <diagonal/>
    </border>
    <border>
      <left/>
      <right/>
      <top style="dotted">
        <color theme="0" tint="-0.24994659260841701"/>
      </top>
      <bottom style="dotted">
        <color theme="0" tint="-0.24994659260841701"/>
      </bottom>
      <diagonal/>
    </border>
    <border>
      <left style="thin">
        <color theme="0" tint="-0.24994659260841701"/>
      </left>
      <right style="thin">
        <color theme="0" tint="-0.24994659260841701"/>
      </right>
      <top style="dotted">
        <color theme="0" tint="-0.24994659260841701"/>
      </top>
      <bottom style="dotted">
        <color theme="0" tint="-0.24994659260841701"/>
      </bottom>
      <diagonal/>
    </border>
    <border>
      <left/>
      <right/>
      <top style="dotted">
        <color theme="0" tint="-0.24994659260841701"/>
      </top>
      <bottom style="medium">
        <color theme="0" tint="-0.14996795556505021"/>
      </bottom>
      <diagonal/>
    </border>
    <border>
      <left style="thin">
        <color theme="0" tint="-0.24994659260841701"/>
      </left>
      <right style="thin">
        <color theme="0" tint="-0.24994659260841701"/>
      </right>
      <top style="dotted">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dotted">
        <color theme="0" tint="-0.24994659260841701"/>
      </bottom>
      <diagonal/>
    </border>
    <border>
      <left style="thin">
        <color theme="0" tint="-0.24994659260841701"/>
      </left>
      <right/>
      <top style="dotted">
        <color theme="0" tint="-0.24994659260841701"/>
      </top>
      <bottom style="dotted">
        <color theme="0" tint="-0.24994659260841701"/>
      </bottom>
      <diagonal/>
    </border>
    <border>
      <left style="thin">
        <color theme="0" tint="-0.24994659260841701"/>
      </left>
      <right/>
      <top style="dotted">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dotted">
        <color theme="0" tint="-0.24994659260841701"/>
      </bottom>
      <diagonal/>
    </border>
    <border>
      <left/>
      <right style="thin">
        <color theme="0" tint="-0.24994659260841701"/>
      </right>
      <top style="dotted">
        <color theme="0" tint="-0.24994659260841701"/>
      </top>
      <bottom style="dotted">
        <color theme="0" tint="-0.24994659260841701"/>
      </bottom>
      <diagonal/>
    </border>
    <border>
      <left/>
      <right style="thin">
        <color theme="0" tint="-0.24994659260841701"/>
      </right>
      <top style="dotted">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dotted">
        <color theme="0" tint="-0.24994659260841701"/>
      </bottom>
      <diagonal/>
    </border>
    <border>
      <left style="thin">
        <color theme="0" tint="-0.24994659260841701"/>
      </left>
      <right style="thin">
        <color auto="1"/>
      </right>
      <top style="thin">
        <color theme="0" tint="-0.24994659260841701"/>
      </top>
      <bottom style="dotted">
        <color theme="0" tint="-0.24994659260841701"/>
      </bottom>
      <diagonal/>
    </border>
    <border>
      <left style="thin">
        <color auto="1"/>
      </left>
      <right style="thin">
        <color theme="0" tint="-0.24994659260841701"/>
      </right>
      <top style="dotted">
        <color theme="0" tint="-0.24994659260841701"/>
      </top>
      <bottom style="dotted">
        <color theme="0" tint="-0.24994659260841701"/>
      </bottom>
      <diagonal/>
    </border>
    <border>
      <left style="thin">
        <color theme="0" tint="-0.24994659260841701"/>
      </left>
      <right style="thin">
        <color auto="1"/>
      </right>
      <top style="dotted">
        <color theme="0" tint="-0.24994659260841701"/>
      </top>
      <bottom style="dotted">
        <color theme="0" tint="-0.24994659260841701"/>
      </bottom>
      <diagonal/>
    </border>
    <border>
      <left style="thin">
        <color auto="1"/>
      </left>
      <right style="thin">
        <color theme="0" tint="-0.24994659260841701"/>
      </right>
      <top style="dotted">
        <color theme="0" tint="-0.24994659260841701"/>
      </top>
      <bottom style="thin">
        <color theme="0" tint="-0.24994659260841701"/>
      </bottom>
      <diagonal/>
    </border>
    <border>
      <left style="thin">
        <color theme="0" tint="-0.24994659260841701"/>
      </left>
      <right style="thin">
        <color auto="1"/>
      </right>
      <top style="dotted">
        <color theme="0" tint="-0.24994659260841701"/>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auto="1"/>
      </right>
      <top style="thin">
        <color indexed="64"/>
      </top>
      <bottom style="thin">
        <color theme="0" tint="-0.24994659260841701"/>
      </bottom>
      <diagonal/>
    </border>
    <border>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indexed="64"/>
      </left>
      <right style="thin">
        <color theme="0" tint="-0.24994659260841701"/>
      </right>
      <top style="dotted">
        <color theme="0" tint="-0.24994659260841701"/>
      </top>
      <bottom style="thin">
        <color indexed="64"/>
      </bottom>
      <diagonal/>
    </border>
    <border>
      <left style="thin">
        <color theme="0" tint="-0.24994659260841701"/>
      </left>
      <right style="thin">
        <color theme="0" tint="-0.24994659260841701"/>
      </right>
      <top style="dotted">
        <color theme="0" tint="-0.24994659260841701"/>
      </top>
      <bottom style="thin">
        <color indexed="64"/>
      </bottom>
      <diagonal/>
    </border>
    <border>
      <left style="thin">
        <color theme="0" tint="-0.24994659260841701"/>
      </left>
      <right style="thin">
        <color auto="1"/>
      </right>
      <top style="dotted">
        <color theme="0" tint="-0.24994659260841701"/>
      </top>
      <bottom style="thin">
        <color indexed="64"/>
      </bottom>
      <diagonal/>
    </border>
    <border>
      <left/>
      <right style="thin">
        <color theme="0" tint="-0.24994659260841701"/>
      </right>
      <top style="dotted">
        <color theme="0" tint="-0.24994659260841701"/>
      </top>
      <bottom style="thin">
        <color indexed="64"/>
      </bottom>
      <diagonal/>
    </border>
    <border>
      <left style="thin">
        <color theme="0" tint="-0.24994659260841701"/>
      </left>
      <right/>
      <top style="dotted">
        <color theme="0" tint="-0.24994659260841701"/>
      </top>
      <bottom style="thin">
        <color indexed="64"/>
      </bottom>
      <diagonal/>
    </border>
    <border>
      <left/>
      <right/>
      <top style="dotted">
        <color theme="0" tint="-0.24994659260841701"/>
      </top>
      <bottom style="thin">
        <color indexed="64"/>
      </bottom>
      <diagonal/>
    </border>
    <border>
      <left style="thin">
        <color indexed="64"/>
      </left>
      <right/>
      <top style="medium">
        <color theme="0" tint="-0.14996795556505021"/>
      </top>
      <bottom style="dotted">
        <color theme="0" tint="-0.24994659260841701"/>
      </bottom>
      <diagonal/>
    </border>
    <border>
      <left/>
      <right style="thin">
        <color indexed="64"/>
      </right>
      <top style="medium">
        <color theme="0" tint="-0.14996795556505021"/>
      </top>
      <bottom style="dotted">
        <color theme="0" tint="-0.24994659260841701"/>
      </bottom>
      <diagonal/>
    </border>
    <border>
      <left style="thin">
        <color indexed="64"/>
      </left>
      <right/>
      <top style="dotted">
        <color theme="0" tint="-0.24994659260841701"/>
      </top>
      <bottom style="dotted">
        <color theme="0" tint="-0.24994659260841701"/>
      </bottom>
      <diagonal/>
    </border>
    <border>
      <left/>
      <right style="thin">
        <color indexed="64"/>
      </right>
      <top style="dotted">
        <color theme="0" tint="-0.24994659260841701"/>
      </top>
      <bottom style="dotted">
        <color theme="0" tint="-0.24994659260841701"/>
      </bottom>
      <diagonal/>
    </border>
    <border>
      <left/>
      <right style="thin">
        <color indexed="64"/>
      </right>
      <top style="dotted">
        <color theme="0" tint="-0.24994659260841701"/>
      </top>
      <bottom style="medium">
        <color theme="0" tint="-0.14996795556505021"/>
      </bottom>
      <diagonal/>
    </border>
    <border>
      <left style="thin">
        <color indexed="64"/>
      </left>
      <right/>
      <top style="dotted">
        <color theme="0" tint="-0.24994659260841701"/>
      </top>
      <bottom style="thin">
        <color indexed="64"/>
      </bottom>
      <diagonal/>
    </border>
    <border>
      <left/>
      <right style="thin">
        <color indexed="64"/>
      </right>
      <top style="dotted">
        <color theme="0" tint="-0.24994659260841701"/>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C0C0C0"/>
      </left>
      <right style="thin">
        <color theme="0" tint="-0.24994659260841701"/>
      </right>
      <top style="dotted">
        <color theme="0" tint="-0.24994659260841701"/>
      </top>
      <bottom style="dotted">
        <color theme="0" tint="-0.24994659260841701"/>
      </bottom>
      <diagonal/>
    </border>
    <border>
      <left style="thin">
        <color rgb="FFC0C0C0"/>
      </left>
      <right style="thin">
        <color rgb="FFC0C0C0"/>
      </right>
      <top style="dotted">
        <color theme="0" tint="-0.24994659260841701"/>
      </top>
      <bottom style="dotted">
        <color theme="0" tint="-0.24994659260841701"/>
      </bottom>
      <diagonal/>
    </border>
    <border>
      <left style="thin">
        <color rgb="FFC0C0C0"/>
      </left>
      <right style="thin">
        <color auto="1"/>
      </right>
      <top style="dotted">
        <color theme="0" tint="-0.24994659260841701"/>
      </top>
      <bottom style="dotted">
        <color theme="0" tint="-0.24994659260841701"/>
      </bottom>
      <diagonal/>
    </border>
    <border>
      <left style="thin">
        <color auto="1"/>
      </left>
      <right style="thin">
        <color rgb="FFC0C0C0"/>
      </right>
      <top style="dotted">
        <color theme="0" tint="-0.24994659260841701"/>
      </top>
      <bottom style="dotted">
        <color theme="0" tint="-0.24994659260841701"/>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2"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2">
      <alignment horizontal="center" vertical="center"/>
    </xf>
    <xf numFmtId="178" fontId="1" fillId="0" borderId="1" applyFill="0">
      <alignment horizontal="center" vertical="center"/>
    </xf>
    <xf numFmtId="0" fontId="1" fillId="0" borderId="1" applyFill="0">
      <alignment horizontal="center" vertical="center"/>
    </xf>
    <xf numFmtId="0" fontId="1" fillId="0" borderId="1"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5" borderId="0" applyNumberFormat="0" applyBorder="0" applyAlignment="0" applyProtection="0"/>
    <xf numFmtId="0" fontId="3" fillId="6" borderId="0" applyNumberFormat="0" applyBorder="0" applyAlignment="0" applyProtection="0"/>
    <xf numFmtId="0" fontId="14" fillId="7" borderId="0" applyNumberFormat="0" applyBorder="0" applyAlignment="0" applyProtection="0"/>
    <xf numFmtId="0" fontId="12" fillId="8" borderId="3" applyNumberFormat="0" applyAlignment="0" applyProtection="0"/>
    <xf numFmtId="0" fontId="15" fillId="9" borderId="4" applyNumberFormat="0" applyAlignment="0" applyProtection="0"/>
    <xf numFmtId="0" fontId="4" fillId="9" borderId="3" applyNumberFormat="0" applyAlignment="0" applyProtection="0"/>
    <xf numFmtId="0" fontId="13" fillId="0" borderId="5" applyNumberFormat="0" applyFill="0" applyAlignment="0" applyProtection="0"/>
    <xf numFmtId="0" fontId="5" fillId="10" borderId="6" applyNumberFormat="0" applyAlignment="0" applyProtection="0"/>
    <xf numFmtId="0" fontId="18" fillId="0" borderId="0" applyNumberFormat="0" applyFill="0" applyBorder="0" applyAlignment="0" applyProtection="0"/>
    <xf numFmtId="0" fontId="1" fillId="11" borderId="7" applyNumberFormat="0" applyFont="0" applyAlignment="0" applyProtection="0"/>
    <xf numFmtId="0" fontId="6" fillId="0" borderId="0" applyNumberFormat="0" applyFill="0" applyBorder="0" applyAlignment="0" applyProtection="0"/>
    <xf numFmtId="0" fontId="17" fillId="0" borderId="8" applyNumberFormat="0" applyFill="0" applyAlignment="0" applyProtection="0"/>
    <xf numFmtId="0" fontId="2"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150">
    <xf numFmtId="0" fontId="0" fillId="0" borderId="0" xfId="0"/>
    <xf numFmtId="0" fontId="21" fillId="0" borderId="0" xfId="3" applyFont="1" applyAlignment="1">
      <alignment wrapText="1"/>
    </xf>
    <xf numFmtId="0" fontId="22" fillId="0" borderId="0" xfId="5" applyFont="1" applyAlignment="1">
      <alignment horizontal="left"/>
    </xf>
    <xf numFmtId="0" fontId="23" fillId="0" borderId="0" xfId="0" applyFont="1" applyAlignment="1">
      <alignment horizontal="left"/>
    </xf>
    <xf numFmtId="0" fontId="20" fillId="0" borderId="0" xfId="0" applyFont="1" applyAlignment="1">
      <alignment horizontal="center"/>
    </xf>
    <xf numFmtId="0" fontId="20" fillId="0" borderId="0" xfId="0" applyFont="1" applyAlignment="1">
      <alignment horizontal="center" vertical="center"/>
    </xf>
    <xf numFmtId="0" fontId="24" fillId="0" borderId="0" xfId="0" applyFont="1"/>
    <xf numFmtId="0" fontId="25" fillId="0" borderId="0" xfId="0" applyFont="1"/>
    <xf numFmtId="0" fontId="21" fillId="0" borderId="0" xfId="3" applyFont="1"/>
    <xf numFmtId="0" fontId="24" fillId="0" borderId="0" xfId="0" applyFont="1" applyAlignment="1">
      <alignment horizontal="center"/>
    </xf>
    <xf numFmtId="0" fontId="20" fillId="0" borderId="0" xfId="1" applyFont="1" applyProtection="1">
      <alignment vertical="top"/>
    </xf>
    <xf numFmtId="0" fontId="24" fillId="0" borderId="0" xfId="0" applyFont="1" applyAlignment="1">
      <alignment vertical="center"/>
    </xf>
    <xf numFmtId="0" fontId="26" fillId="0" borderId="0" xfId="0" applyFont="1"/>
    <xf numFmtId="0" fontId="21" fillId="0" borderId="0" xfId="0" applyFont="1" applyAlignment="1">
      <alignment horizontal="center"/>
    </xf>
    <xf numFmtId="0" fontId="27" fillId="0" borderId="0" xfId="0" applyFont="1"/>
    <xf numFmtId="0" fontId="27" fillId="0" borderId="0" xfId="8" applyFont="1">
      <alignment horizontal="right" indent="1"/>
    </xf>
    <xf numFmtId="0" fontId="24" fillId="0" borderId="12" xfId="0" applyFont="1" applyBorder="1"/>
    <xf numFmtId="0" fontId="24" fillId="0" borderId="13" xfId="0" applyFont="1" applyBorder="1"/>
    <xf numFmtId="0" fontId="24" fillId="0" borderId="14" xfId="0" applyFont="1" applyBorder="1" applyAlignment="1">
      <alignment vertical="center"/>
    </xf>
    <xf numFmtId="0" fontId="24" fillId="0" borderId="14" xfId="0" applyFont="1" applyBorder="1"/>
    <xf numFmtId="0" fontId="27" fillId="4" borderId="17" xfId="11" applyFont="1" applyFill="1" applyBorder="1">
      <alignment horizontal="center" vertical="center"/>
    </xf>
    <xf numFmtId="181" fontId="27" fillId="4" borderId="17" xfId="10" applyNumberFormat="1" applyFont="1" applyFill="1" applyBorder="1">
      <alignment horizontal="center" vertical="center"/>
    </xf>
    <xf numFmtId="180" fontId="29" fillId="2" borderId="14" xfId="0" applyNumberFormat="1" applyFont="1" applyFill="1" applyBorder="1" applyAlignment="1">
      <alignment horizontal="center" vertical="center"/>
    </xf>
    <xf numFmtId="0" fontId="27" fillId="37" borderId="14" xfId="0" applyFont="1" applyFill="1" applyBorder="1" applyAlignment="1">
      <alignment horizontal="center" vertical="center" shrinkToFit="1"/>
    </xf>
    <xf numFmtId="180" fontId="29" fillId="38" borderId="14" xfId="0" applyNumberFormat="1" applyFont="1" applyFill="1" applyBorder="1" applyAlignment="1">
      <alignment horizontal="center" vertical="center"/>
    </xf>
    <xf numFmtId="180" fontId="29" fillId="37" borderId="14" xfId="0" applyNumberFormat="1" applyFont="1" applyFill="1" applyBorder="1" applyAlignment="1">
      <alignment horizontal="center" vertical="center"/>
    </xf>
    <xf numFmtId="0" fontId="24" fillId="2" borderId="14" xfId="0" applyFont="1" applyFill="1" applyBorder="1" applyAlignment="1">
      <alignment vertical="center"/>
    </xf>
    <xf numFmtId="180" fontId="29" fillId="3" borderId="21" xfId="0" applyNumberFormat="1" applyFont="1" applyFill="1" applyBorder="1" applyAlignment="1">
      <alignment horizontal="center" vertical="center"/>
    </xf>
    <xf numFmtId="180" fontId="29" fillId="37" borderId="25" xfId="0" applyNumberFormat="1" applyFont="1" applyFill="1" applyBorder="1" applyAlignment="1">
      <alignment horizontal="center" vertical="center"/>
    </xf>
    <xf numFmtId="0" fontId="27" fillId="37" borderId="25" xfId="0" applyFont="1" applyFill="1" applyBorder="1" applyAlignment="1">
      <alignment horizontal="center" vertical="center" shrinkToFit="1"/>
    </xf>
    <xf numFmtId="0" fontId="24" fillId="0" borderId="25" xfId="0" applyFont="1" applyBorder="1" applyAlignment="1">
      <alignment vertical="center"/>
    </xf>
    <xf numFmtId="180" fontId="29" fillId="3" borderId="30" xfId="0" applyNumberFormat="1" applyFont="1" applyFill="1" applyBorder="1" applyAlignment="1">
      <alignment horizontal="center"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0" fontId="24" fillId="0" borderId="33" xfId="0" applyFont="1" applyBorder="1" applyAlignment="1">
      <alignment vertical="center"/>
    </xf>
    <xf numFmtId="0" fontId="24" fillId="0" borderId="21" xfId="0" applyFont="1" applyBorder="1" applyAlignment="1">
      <alignment vertical="center"/>
    </xf>
    <xf numFmtId="0" fontId="24" fillId="0" borderId="29" xfId="0" applyFont="1" applyBorder="1"/>
    <xf numFmtId="0" fontId="24" fillId="0" borderId="30" xfId="0" applyFont="1" applyBorder="1"/>
    <xf numFmtId="0" fontId="24" fillId="3" borderId="30" xfId="0" applyFont="1" applyFill="1" applyBorder="1" applyAlignment="1">
      <alignment vertical="center"/>
    </xf>
    <xf numFmtId="0" fontId="27" fillId="40" borderId="15" xfId="11" applyFont="1" applyFill="1" applyBorder="1">
      <alignment horizontal="center" vertical="center"/>
    </xf>
    <xf numFmtId="178" fontId="27" fillId="40" borderId="15" xfId="0" applyNumberFormat="1" applyFont="1" applyFill="1" applyBorder="1" applyAlignment="1">
      <alignment horizontal="center" vertical="center"/>
    </xf>
    <xf numFmtId="181" fontId="27" fillId="41" borderId="17" xfId="10" applyNumberFormat="1" applyFont="1" applyFill="1" applyBorder="1">
      <alignment horizontal="center" vertical="center"/>
    </xf>
    <xf numFmtId="0" fontId="32" fillId="41" borderId="17" xfId="11" applyFont="1" applyFill="1" applyBorder="1">
      <alignment horizontal="center" vertical="center"/>
    </xf>
    <xf numFmtId="0" fontId="24" fillId="0" borderId="42" xfId="0" applyFont="1" applyBorder="1" applyAlignment="1">
      <alignment vertical="center"/>
    </xf>
    <xf numFmtId="0" fontId="30" fillId="36" borderId="9" xfId="0" applyFont="1" applyFill="1" applyBorder="1" applyAlignment="1">
      <alignment horizontal="left" vertical="center" indent="1"/>
    </xf>
    <xf numFmtId="0" fontId="30" fillId="36" borderId="10" xfId="0" applyFont="1" applyFill="1" applyBorder="1" applyAlignment="1">
      <alignment horizontal="center" vertical="center" wrapText="1"/>
    </xf>
    <xf numFmtId="0" fontId="30" fillId="36" borderId="11" xfId="0" applyFont="1" applyFill="1" applyBorder="1" applyAlignment="1">
      <alignment horizontal="center" vertical="center" wrapText="1"/>
    </xf>
    <xf numFmtId="0" fontId="24" fillId="0" borderId="0" xfId="0" applyFont="1" applyAlignment="1">
      <alignment wrapText="1"/>
    </xf>
    <xf numFmtId="0" fontId="28" fillId="40" borderId="48" xfId="0" applyFont="1" applyFill="1" applyBorder="1" applyAlignment="1">
      <alignment horizontal="left" vertical="center" indent="1"/>
    </xf>
    <xf numFmtId="178" fontId="29" fillId="40" borderId="49" xfId="0" applyNumberFormat="1" applyFont="1" applyFill="1" applyBorder="1" applyAlignment="1">
      <alignment horizontal="center" vertical="center"/>
    </xf>
    <xf numFmtId="0" fontId="27" fillId="41" borderId="50" xfId="12" applyFont="1" applyFill="1" applyBorder="1">
      <alignment horizontal="left" vertical="center" indent="2"/>
    </xf>
    <xf numFmtId="181" fontId="27" fillId="41" borderId="51" xfId="10" applyNumberFormat="1" applyFont="1" applyFill="1" applyBorder="1">
      <alignment horizontal="center" vertical="center"/>
    </xf>
    <xf numFmtId="0" fontId="27" fillId="4" borderId="50" xfId="12" applyFont="1" applyFill="1" applyBorder="1">
      <alignment horizontal="left" vertical="center" indent="2"/>
    </xf>
    <xf numFmtId="181" fontId="27" fillId="4" borderId="51" xfId="10" applyNumberFormat="1" applyFont="1" applyFill="1" applyBorder="1">
      <alignment horizontal="center" vertical="center"/>
    </xf>
    <xf numFmtId="0" fontId="27" fillId="0" borderId="0" xfId="0" applyFont="1" applyAlignment="1">
      <alignment horizontal="center" vertical="center"/>
    </xf>
    <xf numFmtId="0" fontId="27" fillId="42" borderId="50" xfId="12" applyFont="1" applyFill="1" applyBorder="1">
      <alignment horizontal="left" vertical="center" indent="2"/>
    </xf>
    <xf numFmtId="0" fontId="32" fillId="42" borderId="17" xfId="11" applyFont="1" applyFill="1" applyBorder="1">
      <alignment horizontal="center" vertical="center"/>
    </xf>
    <xf numFmtId="181" fontId="27" fillId="42" borderId="17" xfId="10" applyNumberFormat="1" applyFont="1" applyFill="1" applyBorder="1">
      <alignment horizontal="center" vertical="center"/>
    </xf>
    <xf numFmtId="181" fontId="27" fillId="42" borderId="51" xfId="10" applyNumberFormat="1" applyFont="1" applyFill="1" applyBorder="1">
      <alignment horizontal="center" vertical="center"/>
    </xf>
    <xf numFmtId="181" fontId="27" fillId="42" borderId="19" xfId="10" applyNumberFormat="1" applyFont="1" applyFill="1" applyBorder="1">
      <alignment horizontal="center" vertical="center"/>
    </xf>
    <xf numFmtId="181" fontId="27" fillId="42" borderId="52" xfId="10" applyNumberFormat="1" applyFont="1" applyFill="1" applyBorder="1">
      <alignment horizontal="center" vertical="center"/>
    </xf>
    <xf numFmtId="0" fontId="28" fillId="43" borderId="48" xfId="0" applyFont="1" applyFill="1" applyBorder="1" applyAlignment="1">
      <alignment horizontal="left" vertical="center" indent="1"/>
    </xf>
    <xf numFmtId="0" fontId="27" fillId="43" borderId="15" xfId="11" applyFont="1" applyFill="1" applyBorder="1">
      <alignment horizontal="center" vertical="center"/>
    </xf>
    <xf numFmtId="181" fontId="27" fillId="43" borderId="15" xfId="0" applyNumberFormat="1" applyFont="1" applyFill="1" applyBorder="1" applyAlignment="1">
      <alignment horizontal="center" vertical="center"/>
    </xf>
    <xf numFmtId="181" fontId="29" fillId="43" borderId="49" xfId="0" applyNumberFormat="1" applyFont="1" applyFill="1" applyBorder="1" applyAlignment="1">
      <alignment horizontal="center" vertical="center"/>
    </xf>
    <xf numFmtId="0" fontId="27" fillId="44" borderId="50" xfId="12" applyFont="1" applyFill="1" applyBorder="1">
      <alignment horizontal="left" vertical="center" indent="2"/>
    </xf>
    <xf numFmtId="0" fontId="27" fillId="44" borderId="17" xfId="11" applyFont="1" applyFill="1" applyBorder="1">
      <alignment horizontal="center" vertical="center"/>
    </xf>
    <xf numFmtId="181" fontId="27" fillId="44" borderId="17" xfId="10" applyNumberFormat="1" applyFont="1" applyFill="1" applyBorder="1">
      <alignment horizontal="center" vertical="center"/>
    </xf>
    <xf numFmtId="181" fontId="27" fillId="44" borderId="51" xfId="10" applyNumberFormat="1" applyFont="1" applyFill="1" applyBorder="1">
      <alignment horizontal="center" vertical="center"/>
    </xf>
    <xf numFmtId="0" fontId="24" fillId="45" borderId="33" xfId="0" applyFont="1" applyFill="1" applyBorder="1" applyAlignment="1">
      <alignment vertical="center"/>
    </xf>
    <xf numFmtId="0" fontId="24" fillId="45" borderId="18" xfId="0" applyFont="1" applyFill="1" applyBorder="1" applyAlignment="1">
      <alignment vertical="center"/>
    </xf>
    <xf numFmtId="0" fontId="24" fillId="45" borderId="35" xfId="0" applyFont="1" applyFill="1" applyBorder="1" applyAlignment="1">
      <alignment vertical="center"/>
    </xf>
    <xf numFmtId="0" fontId="24" fillId="45" borderId="20" xfId="0" applyFont="1" applyFill="1" applyBorder="1" applyAlignment="1">
      <alignment vertical="center"/>
    </xf>
    <xf numFmtId="0" fontId="24" fillId="45" borderId="31" xfId="0" applyFont="1" applyFill="1" applyBorder="1" applyAlignment="1">
      <alignment vertical="center"/>
    </xf>
    <xf numFmtId="0" fontId="24" fillId="45" borderId="16" xfId="0" applyFont="1" applyFill="1" applyBorder="1" applyAlignment="1">
      <alignment vertical="center"/>
    </xf>
    <xf numFmtId="0" fontId="24" fillId="45" borderId="26" xfId="0" applyFont="1" applyFill="1" applyBorder="1" applyAlignment="1">
      <alignment vertical="center"/>
    </xf>
    <xf numFmtId="0" fontId="24" fillId="45" borderId="27" xfId="0" applyFont="1" applyFill="1" applyBorder="1" applyAlignment="1">
      <alignment vertical="center"/>
    </xf>
    <xf numFmtId="0" fontId="24" fillId="45" borderId="28" xfId="0" applyFont="1" applyFill="1" applyBorder="1" applyAlignment="1">
      <alignment vertical="center"/>
    </xf>
    <xf numFmtId="0" fontId="24" fillId="45" borderId="45" xfId="0" applyFont="1" applyFill="1" applyBorder="1" applyAlignment="1">
      <alignment vertical="center"/>
    </xf>
    <xf numFmtId="0" fontId="24" fillId="45" borderId="43" xfId="0" applyFont="1" applyFill="1" applyBorder="1" applyAlignment="1">
      <alignment vertical="center"/>
    </xf>
    <xf numFmtId="0" fontId="24" fillId="45" borderId="42" xfId="0" applyFont="1" applyFill="1" applyBorder="1" applyAlignment="1">
      <alignment vertical="center"/>
    </xf>
    <xf numFmtId="14" fontId="0" fillId="0" borderId="0" xfId="0" applyNumberFormat="1" applyAlignment="1">
      <alignment vertical="center" wrapText="1"/>
    </xf>
    <xf numFmtId="0" fontId="24" fillId="45" borderId="32" xfId="0" applyFont="1" applyFill="1" applyBorder="1" applyAlignment="1">
      <alignment vertical="center"/>
    </xf>
    <xf numFmtId="0" fontId="24" fillId="45" borderId="22" xfId="0" applyFont="1" applyFill="1" applyBorder="1" applyAlignment="1">
      <alignment vertical="center"/>
    </xf>
    <xf numFmtId="0" fontId="24" fillId="45" borderId="34" xfId="0" applyFont="1" applyFill="1" applyBorder="1" applyAlignment="1">
      <alignment vertical="center"/>
    </xf>
    <xf numFmtId="0" fontId="24" fillId="45" borderId="23" xfId="0" applyFont="1" applyFill="1" applyBorder="1" applyAlignment="1">
      <alignment vertical="center"/>
    </xf>
    <xf numFmtId="0" fontId="24" fillId="45" borderId="36" xfId="0" applyFont="1" applyFill="1" applyBorder="1" applyAlignment="1">
      <alignment vertical="center"/>
    </xf>
    <xf numFmtId="0" fontId="24" fillId="45" borderId="24" xfId="0" applyFont="1" applyFill="1" applyBorder="1" applyAlignment="1">
      <alignment vertical="center"/>
    </xf>
    <xf numFmtId="0" fontId="24" fillId="45" borderId="44" xfId="0" applyFont="1" applyFill="1" applyBorder="1" applyAlignment="1">
      <alignment vertical="center"/>
    </xf>
    <xf numFmtId="0" fontId="24" fillId="45" borderId="46" xfId="0" applyFont="1" applyFill="1" applyBorder="1" applyAlignment="1">
      <alignment vertical="center"/>
    </xf>
    <xf numFmtId="0" fontId="22" fillId="0" borderId="0" xfId="5" applyFont="1" applyBorder="1" applyAlignment="1">
      <alignment horizontal="left"/>
    </xf>
    <xf numFmtId="0" fontId="27" fillId="0" borderId="0" xfId="0" applyFont="1" applyAlignment="1">
      <alignment horizontal="right" vertical="center"/>
    </xf>
    <xf numFmtId="0" fontId="27" fillId="44" borderId="53" xfId="12" applyFont="1" applyFill="1" applyBorder="1">
      <alignment horizontal="left" vertical="center" indent="2"/>
    </xf>
    <xf numFmtId="0" fontId="27" fillId="44" borderId="47" xfId="11" applyFont="1" applyFill="1" applyBorder="1">
      <alignment horizontal="center" vertical="center"/>
    </xf>
    <xf numFmtId="181" fontId="27" fillId="44" borderId="47" xfId="10" applyNumberFormat="1" applyFont="1" applyFill="1" applyBorder="1">
      <alignment horizontal="center" vertical="center"/>
    </xf>
    <xf numFmtId="181" fontId="27" fillId="44" borderId="54" xfId="10" applyNumberFormat="1" applyFont="1" applyFill="1" applyBorder="1">
      <alignment horizontal="center" vertical="center"/>
    </xf>
    <xf numFmtId="0" fontId="24" fillId="0" borderId="56" xfId="0" applyFont="1" applyBorder="1"/>
    <xf numFmtId="0" fontId="28" fillId="0" borderId="56" xfId="0" applyFont="1" applyBorder="1" applyAlignment="1">
      <alignment vertical="center"/>
    </xf>
    <xf numFmtId="9" fontId="28" fillId="0" borderId="56" xfId="0" applyNumberFormat="1" applyFont="1" applyBorder="1" applyAlignment="1">
      <alignment vertical="center"/>
    </xf>
    <xf numFmtId="0" fontId="28" fillId="0" borderId="57" xfId="0" applyFont="1" applyBorder="1" applyAlignment="1">
      <alignment vertical="center"/>
    </xf>
    <xf numFmtId="0" fontId="24" fillId="4" borderId="55" xfId="0" applyFont="1" applyFill="1" applyBorder="1"/>
    <xf numFmtId="14" fontId="24" fillId="4" borderId="56" xfId="0" applyNumberFormat="1" applyFont="1" applyFill="1" applyBorder="1"/>
    <xf numFmtId="0" fontId="24" fillId="4" borderId="56" xfId="0" applyFont="1" applyFill="1" applyBorder="1"/>
    <xf numFmtId="0" fontId="24" fillId="0" borderId="58" xfId="0" applyFont="1" applyBorder="1"/>
    <xf numFmtId="0" fontId="24" fillId="45" borderId="58" xfId="0" applyFont="1" applyFill="1" applyBorder="1" applyAlignment="1">
      <alignment vertical="center"/>
    </xf>
    <xf numFmtId="0" fontId="33" fillId="41" borderId="58" xfId="0" applyFont="1" applyFill="1" applyBorder="1"/>
    <xf numFmtId="0" fontId="33" fillId="4" borderId="58" xfId="0" applyFont="1" applyFill="1" applyBorder="1"/>
    <xf numFmtId="0" fontId="24" fillId="46" borderId="58" xfId="0" applyFont="1" applyFill="1" applyBorder="1"/>
    <xf numFmtId="0" fontId="24" fillId="46" borderId="58" xfId="0" applyFont="1" applyFill="1" applyBorder="1" applyAlignment="1">
      <alignment vertical="center"/>
    </xf>
    <xf numFmtId="0" fontId="24" fillId="0" borderId="0" xfId="0" applyFont="1" applyFill="1"/>
    <xf numFmtId="0" fontId="34" fillId="43" borderId="33" xfId="0" applyFont="1" applyFill="1" applyBorder="1" applyAlignment="1">
      <alignment vertical="center"/>
    </xf>
    <xf numFmtId="0" fontId="24" fillId="43" borderId="18" xfId="0" applyFont="1" applyFill="1" applyBorder="1" applyAlignment="1">
      <alignment vertical="center"/>
    </xf>
    <xf numFmtId="180" fontId="29" fillId="37" borderId="30" xfId="0" applyNumberFormat="1" applyFont="1" applyFill="1" applyBorder="1" applyAlignment="1">
      <alignment horizontal="center" vertical="center"/>
    </xf>
    <xf numFmtId="0" fontId="27" fillId="37" borderId="30" xfId="0" applyFont="1" applyFill="1" applyBorder="1" applyAlignment="1">
      <alignment horizontal="center" vertical="center" shrinkToFit="1"/>
    </xf>
    <xf numFmtId="0" fontId="27" fillId="3" borderId="21" xfId="0" applyFont="1" applyFill="1" applyBorder="1" applyAlignment="1">
      <alignment horizontal="center" vertical="center" shrinkToFit="1"/>
    </xf>
    <xf numFmtId="0" fontId="27" fillId="3" borderId="30" xfId="0" applyFont="1" applyFill="1" applyBorder="1" applyAlignment="1">
      <alignment horizontal="center" vertical="center" shrinkToFit="1"/>
    </xf>
    <xf numFmtId="0" fontId="31" fillId="47" borderId="14" xfId="0" applyFont="1" applyFill="1" applyBorder="1" applyAlignment="1">
      <alignment horizontal="center" vertical="center" shrinkToFit="1"/>
    </xf>
    <xf numFmtId="0" fontId="31" fillId="38" borderId="14" xfId="0" applyFont="1" applyFill="1" applyBorder="1" applyAlignment="1">
      <alignment horizontal="center" vertical="center" shrinkToFit="1"/>
    </xf>
    <xf numFmtId="180" fontId="29" fillId="49" borderId="29" xfId="0" applyNumberFormat="1" applyFont="1" applyFill="1" applyBorder="1" applyAlignment="1">
      <alignment horizontal="center" vertical="center"/>
    </xf>
    <xf numFmtId="0" fontId="27" fillId="49" borderId="29" xfId="0" applyFont="1" applyFill="1" applyBorder="1" applyAlignment="1">
      <alignment horizontal="center" vertical="center" shrinkToFit="1"/>
    </xf>
    <xf numFmtId="180" fontId="29" fillId="49" borderId="14" xfId="0" applyNumberFormat="1" applyFont="1" applyFill="1" applyBorder="1" applyAlignment="1">
      <alignment horizontal="center" vertical="center"/>
    </xf>
    <xf numFmtId="0" fontId="27" fillId="49" borderId="14" xfId="0" applyFont="1" applyFill="1" applyBorder="1" applyAlignment="1">
      <alignment horizontal="center" vertical="center" shrinkToFit="1"/>
    </xf>
    <xf numFmtId="180" fontId="29" fillId="49" borderId="30" xfId="0" applyNumberFormat="1" applyFont="1" applyFill="1" applyBorder="1" applyAlignment="1">
      <alignment horizontal="center" vertical="center"/>
    </xf>
    <xf numFmtId="0" fontId="27" fillId="49" borderId="30" xfId="0" applyFont="1" applyFill="1" applyBorder="1" applyAlignment="1">
      <alignment horizontal="center" vertical="center" shrinkToFit="1"/>
    </xf>
    <xf numFmtId="180" fontId="29" fillId="49" borderId="21" xfId="0" applyNumberFormat="1" applyFont="1" applyFill="1" applyBorder="1" applyAlignment="1">
      <alignment horizontal="center" vertical="center"/>
    </xf>
    <xf numFmtId="0" fontId="27" fillId="49" borderId="21" xfId="0" applyFont="1" applyFill="1" applyBorder="1" applyAlignment="1">
      <alignment horizontal="center" vertical="center" shrinkToFit="1"/>
    </xf>
    <xf numFmtId="180" fontId="29" fillId="49" borderId="25" xfId="0" applyNumberFormat="1" applyFont="1" applyFill="1" applyBorder="1" applyAlignment="1">
      <alignment horizontal="center" vertical="center"/>
    </xf>
    <xf numFmtId="0" fontId="27" fillId="49" borderId="25" xfId="0" applyFont="1" applyFill="1" applyBorder="1" applyAlignment="1">
      <alignment horizontal="center" vertical="center" shrinkToFit="1"/>
    </xf>
    <xf numFmtId="0" fontId="24" fillId="50" borderId="0" xfId="0" applyFont="1" applyFill="1"/>
    <xf numFmtId="0" fontId="24" fillId="50" borderId="58" xfId="0" applyFont="1" applyFill="1" applyBorder="1"/>
    <xf numFmtId="0" fontId="24" fillId="48" borderId="60" xfId="0" applyFont="1" applyFill="1" applyBorder="1" applyAlignment="1">
      <alignment vertical="center"/>
    </xf>
    <xf numFmtId="0" fontId="24" fillId="48" borderId="59" xfId="0" applyFont="1" applyFill="1" applyBorder="1" applyAlignment="1">
      <alignment vertical="center"/>
    </xf>
    <xf numFmtId="0" fontId="24" fillId="43" borderId="23" xfId="0" applyFont="1" applyFill="1" applyBorder="1" applyAlignment="1">
      <alignment vertical="center"/>
    </xf>
    <xf numFmtId="0" fontId="24" fillId="43" borderId="33" xfId="0" applyFont="1" applyFill="1" applyBorder="1" applyAlignment="1">
      <alignment vertical="center"/>
    </xf>
    <xf numFmtId="0" fontId="24" fillId="45" borderId="61" xfId="0" applyFont="1" applyFill="1" applyBorder="1" applyAlignment="1">
      <alignment vertical="center"/>
    </xf>
    <xf numFmtId="0" fontId="24" fillId="48" borderId="18" xfId="0" applyFont="1" applyFill="1" applyBorder="1" applyAlignment="1">
      <alignment vertical="center"/>
    </xf>
    <xf numFmtId="0" fontId="24" fillId="48" borderId="34" xfId="0" applyFont="1" applyFill="1" applyBorder="1" applyAlignment="1">
      <alignment vertical="center"/>
    </xf>
    <xf numFmtId="0" fontId="24" fillId="48" borderId="27" xfId="0" applyFont="1" applyFill="1" applyBorder="1" applyAlignment="1">
      <alignment vertical="center"/>
    </xf>
    <xf numFmtId="0" fontId="24" fillId="48" borderId="33" xfId="0" applyFont="1" applyFill="1" applyBorder="1" applyAlignment="1">
      <alignment vertical="center"/>
    </xf>
    <xf numFmtId="0" fontId="24" fillId="43" borderId="62" xfId="0" applyFont="1" applyFill="1" applyBorder="1" applyAlignment="1">
      <alignment vertical="center"/>
    </xf>
    <xf numFmtId="0" fontId="24" fillId="43" borderId="60" xfId="0" applyFont="1" applyFill="1" applyBorder="1" applyAlignment="1">
      <alignment vertical="center"/>
    </xf>
    <xf numFmtId="0" fontId="24" fillId="43" borderId="59" xfId="0" applyFont="1" applyFill="1" applyBorder="1" applyAlignment="1">
      <alignment vertical="center"/>
    </xf>
    <xf numFmtId="0" fontId="24" fillId="0" borderId="58" xfId="0" applyFont="1" applyBorder="1" applyAlignment="1">
      <alignment wrapText="1"/>
    </xf>
    <xf numFmtId="14" fontId="27" fillId="39" borderId="37" xfId="0" applyNumberFormat="1" applyFont="1" applyFill="1" applyBorder="1" applyAlignment="1">
      <alignment horizontal="left" vertical="center" wrapText="1" indent="1"/>
    </xf>
    <xf numFmtId="14" fontId="27" fillId="39" borderId="38" xfId="0" applyNumberFormat="1" applyFont="1" applyFill="1" applyBorder="1" applyAlignment="1">
      <alignment horizontal="left" vertical="center" wrapText="1" indent="1"/>
    </xf>
    <xf numFmtId="14" fontId="27" fillId="39" borderId="39" xfId="0" applyNumberFormat="1" applyFont="1" applyFill="1" applyBorder="1" applyAlignment="1">
      <alignment horizontal="left" vertical="center" wrapText="1" indent="1"/>
    </xf>
    <xf numFmtId="14" fontId="27" fillId="39" borderId="40" xfId="0" applyNumberFormat="1" applyFont="1" applyFill="1" applyBorder="1" applyAlignment="1">
      <alignment horizontal="left" vertical="center" wrapText="1" indent="1"/>
    </xf>
    <xf numFmtId="14" fontId="27" fillId="39" borderId="41" xfId="0" applyNumberFormat="1" applyFont="1" applyFill="1" applyBorder="1" applyAlignment="1">
      <alignment horizontal="left" vertical="center" wrapText="1" indent="1"/>
    </xf>
    <xf numFmtId="179" fontId="27" fillId="0" borderId="0" xfId="9" applyFont="1" applyBorder="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28">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3" tint="0.79998168889431442"/>
        </patternFill>
      </fill>
    </dxf>
    <dxf>
      <fill>
        <patternFill>
          <bgColor theme="5" tint="0.79998168889431442"/>
        </patternFill>
      </fill>
    </dxf>
    <dxf>
      <fill>
        <patternFill>
          <bgColor theme="3" tint="0.79998168889431442"/>
        </patternFill>
      </fill>
    </dxf>
    <dxf>
      <fill>
        <patternFill>
          <bgColor theme="5" tint="0.79998168889431442"/>
        </patternFill>
      </fill>
    </dxf>
    <dxf>
      <fill>
        <patternFill>
          <bgColor theme="3" tint="0.79998168889431442"/>
        </patternFill>
      </fill>
    </dxf>
    <dxf>
      <fill>
        <patternFill>
          <bgColor rgb="FF7030A0"/>
        </patternFill>
      </fill>
    </dxf>
    <dxf>
      <fill>
        <patternFill>
          <bgColor theme="5" tint="0.79998168889431442"/>
        </patternFill>
      </fill>
    </dxf>
    <dxf>
      <fill>
        <patternFill>
          <bgColor theme="3" tint="0.79998168889431442"/>
        </patternFill>
      </fill>
    </dxf>
    <dxf>
      <fill>
        <patternFill>
          <bgColor theme="5" tint="0.79998168889431442"/>
        </patternFill>
      </fill>
    </dxf>
    <dxf>
      <fill>
        <patternFill>
          <bgColor theme="3" tint="0.79998168889431442"/>
        </patternFill>
      </fill>
    </dxf>
    <dxf>
      <fill>
        <patternFill>
          <bgColor theme="5" tint="0.79998168889431442"/>
        </patternFill>
      </fill>
    </dxf>
    <dxf>
      <fill>
        <patternFill>
          <bgColor theme="3"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FFFF66"/>
      <color rgb="FF969696"/>
      <color rgb="FFFFFF99"/>
      <color rgb="FFFFFFCC"/>
      <color rgb="FF215881"/>
      <color rgb="FF42648A"/>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P28"/>
  <sheetViews>
    <sheetView showGridLines="0" tabSelected="1" showRuler="0" zoomScale="70" zoomScaleNormal="70" zoomScalePageLayoutView="70" workbookViewId="0">
      <pane xSplit="47" topLeftCell="BK1" activePane="topRight" state="frozen"/>
      <selection pane="topRight"/>
    </sheetView>
  </sheetViews>
  <sheetFormatPr defaultColWidth="8.77734375" defaultRowHeight="30" customHeight="1" x14ac:dyDescent="0.25"/>
  <cols>
    <col min="1" max="1" width="1.33203125" style="8" customWidth="1"/>
    <col min="2" max="2" width="20.21875" style="6" customWidth="1"/>
    <col min="3" max="3" width="12.77734375" style="6" customWidth="1"/>
    <col min="4" max="4" width="12.6640625" style="9" customWidth="1"/>
    <col min="5" max="5" width="12.6640625" style="6" customWidth="1"/>
    <col min="6" max="47" width="5.21875" style="6" customWidth="1"/>
    <col min="48" max="48" width="11.77734375" style="6" customWidth="1"/>
    <col min="49" max="61" width="11.44140625" style="6" bestFit="1" customWidth="1"/>
    <col min="62" max="63" width="13" style="6" bestFit="1" customWidth="1"/>
    <col min="64" max="68" width="11.44140625" style="6" bestFit="1" customWidth="1"/>
    <col min="69" max="16384" width="8.77734375" style="6"/>
  </cols>
  <sheetData>
    <row r="1" spans="1:68" ht="21.6" customHeight="1" x14ac:dyDescent="0.45">
      <c r="A1" s="1"/>
      <c r="B1" s="2"/>
      <c r="C1" s="3"/>
      <c r="D1" s="4"/>
      <c r="E1" s="5"/>
      <c r="F1" s="7"/>
    </row>
    <row r="2" spans="1:68" ht="30" customHeight="1" x14ac:dyDescent="0.45">
      <c r="A2" s="8" t="s">
        <v>0</v>
      </c>
      <c r="B2" s="2" t="s">
        <v>35</v>
      </c>
      <c r="F2" s="10"/>
      <c r="I2" s="112"/>
      <c r="J2" s="6" t="s">
        <v>36</v>
      </c>
      <c r="M2" s="132"/>
      <c r="N2" s="6" t="s">
        <v>37</v>
      </c>
    </row>
    <row r="3" spans="1:68" ht="10.9" customHeight="1" x14ac:dyDescent="0.45">
      <c r="B3" s="2"/>
      <c r="F3" s="10"/>
    </row>
    <row r="4" spans="1:68" ht="22.9" customHeight="1" x14ac:dyDescent="0.45">
      <c r="A4" s="8" t="s">
        <v>1</v>
      </c>
      <c r="B4" s="91"/>
      <c r="C4" s="92"/>
      <c r="D4" s="149"/>
      <c r="E4" s="149"/>
    </row>
    <row r="5" spans="1:68" ht="25.9" customHeight="1" x14ac:dyDescent="0.3">
      <c r="A5" s="1" t="s">
        <v>2</v>
      </c>
      <c r="B5" s="14" t="s">
        <v>28</v>
      </c>
      <c r="C5" s="15"/>
      <c r="D5" s="55"/>
      <c r="E5" s="14"/>
      <c r="F5" s="144">
        <f>D10</f>
        <v>46273</v>
      </c>
      <c r="G5" s="145"/>
      <c r="H5" s="145"/>
      <c r="I5" s="145"/>
      <c r="J5" s="145"/>
      <c r="K5" s="145"/>
      <c r="L5" s="146"/>
      <c r="M5" s="144">
        <f>M6</f>
        <v>46280</v>
      </c>
      <c r="N5" s="145"/>
      <c r="O5" s="145"/>
      <c r="P5" s="145"/>
      <c r="Q5" s="145"/>
      <c r="R5" s="145"/>
      <c r="S5" s="146"/>
      <c r="T5" s="147">
        <f>T6</f>
        <v>46287</v>
      </c>
      <c r="U5" s="145"/>
      <c r="V5" s="145"/>
      <c r="W5" s="145"/>
      <c r="X5" s="145"/>
      <c r="Y5" s="145"/>
      <c r="Z5" s="148"/>
      <c r="AA5" s="144">
        <f>AA6</f>
        <v>46294</v>
      </c>
      <c r="AB5" s="145"/>
      <c r="AC5" s="145"/>
      <c r="AD5" s="145"/>
      <c r="AE5" s="145"/>
      <c r="AF5" s="145"/>
      <c r="AG5" s="146"/>
      <c r="AH5" s="147">
        <f>AH6</f>
        <v>46301</v>
      </c>
      <c r="AI5" s="145"/>
      <c r="AJ5" s="145"/>
      <c r="AK5" s="145"/>
      <c r="AL5" s="145"/>
      <c r="AM5" s="145"/>
      <c r="AN5" s="148"/>
      <c r="AO5" s="144">
        <f>AO6</f>
        <v>46308</v>
      </c>
      <c r="AP5" s="145"/>
      <c r="AQ5" s="145"/>
      <c r="AR5" s="145"/>
      <c r="AS5" s="145"/>
      <c r="AT5" s="145"/>
      <c r="AU5" s="146"/>
      <c r="AV5" s="101" t="s">
        <v>24</v>
      </c>
      <c r="AW5" s="101" t="s">
        <v>24</v>
      </c>
      <c r="AX5" s="101" t="s">
        <v>24</v>
      </c>
      <c r="AY5" s="101" t="s">
        <v>24</v>
      </c>
      <c r="AZ5" s="101" t="s">
        <v>24</v>
      </c>
      <c r="BA5" s="101" t="s">
        <v>24</v>
      </c>
      <c r="BB5" s="101" t="s">
        <v>24</v>
      </c>
      <c r="BC5" s="101" t="s">
        <v>24</v>
      </c>
      <c r="BD5" s="101" t="s">
        <v>24</v>
      </c>
      <c r="BE5" s="101" t="s">
        <v>24</v>
      </c>
      <c r="BF5" s="101" t="s">
        <v>24</v>
      </c>
      <c r="BG5" s="101" t="s">
        <v>24</v>
      </c>
      <c r="BH5" s="101" t="s">
        <v>24</v>
      </c>
      <c r="BI5" s="101" t="s">
        <v>24</v>
      </c>
      <c r="BJ5" s="101" t="s">
        <v>24</v>
      </c>
      <c r="BK5" s="101" t="s">
        <v>24</v>
      </c>
      <c r="BL5" s="101" t="s">
        <v>24</v>
      </c>
      <c r="BM5" s="101" t="s">
        <v>24</v>
      </c>
      <c r="BN5" s="101" t="s">
        <v>24</v>
      </c>
      <c r="BO5" s="101" t="s">
        <v>24</v>
      </c>
      <c r="BP5" s="101" t="s">
        <v>24</v>
      </c>
    </row>
    <row r="6" spans="1:68" ht="21" customHeight="1" x14ac:dyDescent="0.25">
      <c r="A6" s="1" t="s">
        <v>3</v>
      </c>
      <c r="D6" s="6"/>
      <c r="F6" s="119">
        <f>F5</f>
        <v>46273</v>
      </c>
      <c r="G6" s="25">
        <f>F6+1</f>
        <v>46274</v>
      </c>
      <c r="H6" s="25">
        <f t="shared" ref="H6:AN6" si="0">G6+1</f>
        <v>46275</v>
      </c>
      <c r="I6" s="121">
        <f t="shared" si="0"/>
        <v>46276</v>
      </c>
      <c r="J6" s="25">
        <f t="shared" si="0"/>
        <v>46277</v>
      </c>
      <c r="K6" s="22">
        <f t="shared" si="0"/>
        <v>46278</v>
      </c>
      <c r="L6" s="123">
        <f t="shared" si="0"/>
        <v>46279</v>
      </c>
      <c r="M6" s="119">
        <f>L6+1</f>
        <v>46280</v>
      </c>
      <c r="N6" s="25">
        <f>M6+1</f>
        <v>46281</v>
      </c>
      <c r="O6" s="121">
        <f t="shared" si="0"/>
        <v>46282</v>
      </c>
      <c r="P6" s="121">
        <f t="shared" si="0"/>
        <v>46283</v>
      </c>
      <c r="Q6" s="25">
        <f t="shared" si="0"/>
        <v>46284</v>
      </c>
      <c r="R6" s="24">
        <f t="shared" si="0"/>
        <v>46285</v>
      </c>
      <c r="S6" s="113">
        <f t="shared" si="0"/>
        <v>46286</v>
      </c>
      <c r="T6" s="28">
        <f>S6+1</f>
        <v>46287</v>
      </c>
      <c r="U6" s="25">
        <f>T6+1</f>
        <v>46288</v>
      </c>
      <c r="V6" s="121">
        <f t="shared" si="0"/>
        <v>46289</v>
      </c>
      <c r="W6" s="121">
        <f t="shared" si="0"/>
        <v>46290</v>
      </c>
      <c r="X6" s="25">
        <f t="shared" si="0"/>
        <v>46291</v>
      </c>
      <c r="Y6" s="24">
        <f t="shared" si="0"/>
        <v>46292</v>
      </c>
      <c r="Z6" s="125">
        <f t="shared" si="0"/>
        <v>46293</v>
      </c>
      <c r="AA6" s="119">
        <f>Z6+1</f>
        <v>46294</v>
      </c>
      <c r="AB6" s="121">
        <f>AA6+1</f>
        <v>46295</v>
      </c>
      <c r="AC6" s="121">
        <f t="shared" si="0"/>
        <v>46296</v>
      </c>
      <c r="AD6" s="121">
        <f t="shared" si="0"/>
        <v>46297</v>
      </c>
      <c r="AE6" s="25">
        <f t="shared" si="0"/>
        <v>46298</v>
      </c>
      <c r="AF6" s="24">
        <f t="shared" si="0"/>
        <v>46299</v>
      </c>
      <c r="AG6" s="123">
        <f t="shared" si="0"/>
        <v>46300</v>
      </c>
      <c r="AH6" s="127">
        <f>AG6+1</f>
        <v>46301</v>
      </c>
      <c r="AI6" s="121">
        <f>AH6+1</f>
        <v>46302</v>
      </c>
      <c r="AJ6" s="121">
        <f t="shared" si="0"/>
        <v>46303</v>
      </c>
      <c r="AK6" s="25">
        <f t="shared" si="0"/>
        <v>46304</v>
      </c>
      <c r="AL6" s="25">
        <f t="shared" si="0"/>
        <v>46305</v>
      </c>
      <c r="AM6" s="24">
        <f t="shared" si="0"/>
        <v>46306</v>
      </c>
      <c r="AN6" s="27">
        <f t="shared" si="0"/>
        <v>46307</v>
      </c>
      <c r="AO6" s="119">
        <f>AN6+1</f>
        <v>46308</v>
      </c>
      <c r="AP6" s="121">
        <f>AO6+1</f>
        <v>46309</v>
      </c>
      <c r="AQ6" s="121">
        <f t="shared" ref="AQ6" si="1">AP6+1</f>
        <v>46310</v>
      </c>
      <c r="AR6" s="121">
        <f t="shared" ref="AR6" si="2">AQ6+1</f>
        <v>46311</v>
      </c>
      <c r="AS6" s="25">
        <f t="shared" ref="AS6" si="3">AR6+1</f>
        <v>46312</v>
      </c>
      <c r="AT6" s="24">
        <f t="shared" ref="AT6" si="4">AS6+1</f>
        <v>46313</v>
      </c>
      <c r="AU6" s="31">
        <f t="shared" ref="AU6" si="5">AT6+1</f>
        <v>46314</v>
      </c>
      <c r="AV6" s="102">
        <v>46279</v>
      </c>
      <c r="AW6" s="102">
        <v>46280</v>
      </c>
      <c r="AX6" s="102">
        <v>46282</v>
      </c>
      <c r="AY6" s="102">
        <v>46283</v>
      </c>
      <c r="AZ6" s="102">
        <v>46289</v>
      </c>
      <c r="BA6" s="102">
        <v>46290</v>
      </c>
      <c r="BB6" s="102">
        <v>46293</v>
      </c>
      <c r="BC6" s="102">
        <v>46295</v>
      </c>
      <c r="BD6" s="102">
        <v>46296</v>
      </c>
      <c r="BE6" s="102">
        <v>46297</v>
      </c>
      <c r="BF6" s="102">
        <v>46300</v>
      </c>
      <c r="BG6" s="102">
        <v>46301</v>
      </c>
      <c r="BH6" s="102">
        <v>46302</v>
      </c>
      <c r="BI6" s="102">
        <v>46303</v>
      </c>
      <c r="BJ6" s="102">
        <v>46308</v>
      </c>
      <c r="BK6" s="102">
        <v>46309</v>
      </c>
      <c r="BL6" s="102"/>
      <c r="BM6" s="102"/>
      <c r="BN6" s="102"/>
      <c r="BO6" s="102"/>
      <c r="BP6" s="102"/>
    </row>
    <row r="7" spans="1:68" ht="30" customHeight="1" thickBot="1" x14ac:dyDescent="0.3">
      <c r="A7" s="1" t="s">
        <v>4</v>
      </c>
      <c r="B7" s="45" t="s">
        <v>15</v>
      </c>
      <c r="C7" s="46" t="s">
        <v>12</v>
      </c>
      <c r="D7" s="46" t="s">
        <v>10</v>
      </c>
      <c r="E7" s="47" t="s">
        <v>11</v>
      </c>
      <c r="F7" s="120" t="str">
        <f t="shared" ref="F7:AK7" si="6">LEFT(TEXT(F6,"aaa"),1)</f>
        <v>火</v>
      </c>
      <c r="G7" s="23" t="str">
        <f t="shared" si="6"/>
        <v>水</v>
      </c>
      <c r="H7" s="23" t="str">
        <f t="shared" si="6"/>
        <v>木</v>
      </c>
      <c r="I7" s="122" t="str">
        <f t="shared" si="6"/>
        <v>金</v>
      </c>
      <c r="J7" s="23" t="str">
        <f t="shared" si="6"/>
        <v>土</v>
      </c>
      <c r="K7" s="117" t="str">
        <f t="shared" si="6"/>
        <v>日</v>
      </c>
      <c r="L7" s="124" t="str">
        <f t="shared" si="6"/>
        <v>月</v>
      </c>
      <c r="M7" s="120" t="str">
        <f t="shared" si="6"/>
        <v>火</v>
      </c>
      <c r="N7" s="23" t="str">
        <f t="shared" si="6"/>
        <v>水</v>
      </c>
      <c r="O7" s="122" t="str">
        <f t="shared" si="6"/>
        <v>木</v>
      </c>
      <c r="P7" s="122" t="str">
        <f t="shared" si="6"/>
        <v>金</v>
      </c>
      <c r="Q7" s="23" t="str">
        <f t="shared" si="6"/>
        <v>土</v>
      </c>
      <c r="R7" s="118" t="str">
        <f t="shared" si="6"/>
        <v>日</v>
      </c>
      <c r="S7" s="114" t="str">
        <f t="shared" si="6"/>
        <v>月</v>
      </c>
      <c r="T7" s="29" t="str">
        <f t="shared" si="6"/>
        <v>火</v>
      </c>
      <c r="U7" s="23" t="str">
        <f t="shared" si="6"/>
        <v>水</v>
      </c>
      <c r="V7" s="122" t="str">
        <f t="shared" si="6"/>
        <v>木</v>
      </c>
      <c r="W7" s="122" t="str">
        <f t="shared" si="6"/>
        <v>金</v>
      </c>
      <c r="X7" s="23" t="str">
        <f t="shared" si="6"/>
        <v>土</v>
      </c>
      <c r="Y7" s="118" t="str">
        <f t="shared" si="6"/>
        <v>日</v>
      </c>
      <c r="Z7" s="126" t="str">
        <f t="shared" si="6"/>
        <v>月</v>
      </c>
      <c r="AA7" s="120" t="str">
        <f t="shared" si="6"/>
        <v>火</v>
      </c>
      <c r="AB7" s="122" t="str">
        <f t="shared" si="6"/>
        <v>水</v>
      </c>
      <c r="AC7" s="122" t="str">
        <f t="shared" si="6"/>
        <v>木</v>
      </c>
      <c r="AD7" s="122" t="str">
        <f t="shared" si="6"/>
        <v>金</v>
      </c>
      <c r="AE7" s="23" t="str">
        <f t="shared" si="6"/>
        <v>土</v>
      </c>
      <c r="AF7" s="118" t="str">
        <f t="shared" si="6"/>
        <v>日</v>
      </c>
      <c r="AG7" s="124" t="str">
        <f t="shared" si="6"/>
        <v>月</v>
      </c>
      <c r="AH7" s="128" t="str">
        <f t="shared" si="6"/>
        <v>火</v>
      </c>
      <c r="AI7" s="122" t="str">
        <f t="shared" si="6"/>
        <v>水</v>
      </c>
      <c r="AJ7" s="122" t="str">
        <f t="shared" si="6"/>
        <v>木</v>
      </c>
      <c r="AK7" s="23" t="str">
        <f t="shared" si="6"/>
        <v>金</v>
      </c>
      <c r="AL7" s="23" t="str">
        <f t="shared" ref="AL7:AR7" si="7">LEFT(TEXT(AL6,"aaa"),1)</f>
        <v>土</v>
      </c>
      <c r="AM7" s="118" t="str">
        <f t="shared" si="7"/>
        <v>日</v>
      </c>
      <c r="AN7" s="115" t="str">
        <f t="shared" si="7"/>
        <v>月</v>
      </c>
      <c r="AO7" s="120" t="str">
        <f t="shared" si="7"/>
        <v>火</v>
      </c>
      <c r="AP7" s="122" t="str">
        <f t="shared" si="7"/>
        <v>水</v>
      </c>
      <c r="AQ7" s="122" t="str">
        <f t="shared" si="7"/>
        <v>木</v>
      </c>
      <c r="AR7" s="122" t="str">
        <f t="shared" si="7"/>
        <v>金</v>
      </c>
      <c r="AS7" s="23" t="str">
        <f t="shared" ref="AS7:AU7" si="8">LEFT(TEXT(AS6,"aaa"),1)</f>
        <v>土</v>
      </c>
      <c r="AT7" s="118" t="str">
        <f t="shared" si="8"/>
        <v>日</v>
      </c>
      <c r="AU7" s="116" t="str">
        <f t="shared" si="8"/>
        <v>月</v>
      </c>
      <c r="AV7" s="103" t="s">
        <v>25</v>
      </c>
      <c r="AW7" s="103" t="s">
        <v>25</v>
      </c>
      <c r="AX7" s="103" t="s">
        <v>25</v>
      </c>
      <c r="AY7" s="103" t="s">
        <v>25</v>
      </c>
      <c r="AZ7" s="103" t="s">
        <v>25</v>
      </c>
      <c r="BA7" s="103" t="s">
        <v>25</v>
      </c>
      <c r="BB7" s="103" t="s">
        <v>25</v>
      </c>
      <c r="BC7" s="103" t="s">
        <v>25</v>
      </c>
      <c r="BD7" s="103" t="s">
        <v>25</v>
      </c>
      <c r="BE7" s="103" t="s">
        <v>25</v>
      </c>
      <c r="BF7" s="103" t="s">
        <v>25</v>
      </c>
      <c r="BG7" s="103" t="s">
        <v>25</v>
      </c>
      <c r="BH7" s="103" t="s">
        <v>25</v>
      </c>
      <c r="BI7" s="103" t="s">
        <v>25</v>
      </c>
      <c r="BJ7" s="103" t="s">
        <v>25</v>
      </c>
      <c r="BK7" s="103" t="s">
        <v>25</v>
      </c>
      <c r="BL7" s="103" t="s">
        <v>25</v>
      </c>
      <c r="BM7" s="103" t="s">
        <v>25</v>
      </c>
      <c r="BN7" s="103" t="s">
        <v>25</v>
      </c>
      <c r="BO7" s="103" t="s">
        <v>25</v>
      </c>
      <c r="BP7" s="103" t="s">
        <v>25</v>
      </c>
    </row>
    <row r="8" spans="1:68" ht="30" hidden="1" customHeight="1" thickBot="1" x14ac:dyDescent="0.3">
      <c r="A8" s="8" t="s">
        <v>5</v>
      </c>
      <c r="B8" s="16"/>
      <c r="C8" s="48"/>
      <c r="D8" s="6"/>
      <c r="E8" s="17"/>
      <c r="F8" s="32"/>
      <c r="G8" s="18"/>
      <c r="H8" s="18"/>
      <c r="I8" s="18"/>
      <c r="J8" s="18"/>
      <c r="K8" s="26"/>
      <c r="L8" s="39"/>
      <c r="M8" s="32"/>
      <c r="N8" s="18"/>
      <c r="O8" s="18"/>
      <c r="P8" s="18"/>
      <c r="Q8" s="18"/>
      <c r="R8" s="18"/>
      <c r="S8" s="33"/>
      <c r="T8" s="30"/>
      <c r="U8" s="18"/>
      <c r="V8" s="18"/>
      <c r="W8" s="18"/>
      <c r="X8" s="18"/>
      <c r="Y8" s="18"/>
      <c r="Z8" s="36"/>
      <c r="AA8" s="32"/>
      <c r="AB8" s="18"/>
      <c r="AC8" s="18"/>
      <c r="AD8" s="18"/>
      <c r="AE8" s="18"/>
      <c r="AF8" s="18"/>
      <c r="AG8" s="33"/>
      <c r="AH8" s="30"/>
      <c r="AI8" s="18"/>
      <c r="AJ8" s="18"/>
      <c r="AK8" s="18"/>
      <c r="AL8" s="18"/>
      <c r="AM8" s="18"/>
      <c r="AN8" s="36"/>
      <c r="AO8" s="37"/>
      <c r="AP8" s="19"/>
      <c r="AQ8" s="19"/>
      <c r="AR8" s="19"/>
      <c r="AS8" s="19"/>
      <c r="AT8" s="19"/>
      <c r="AU8" s="38"/>
      <c r="AV8" s="97"/>
      <c r="AW8" s="97"/>
      <c r="AX8" s="97"/>
      <c r="AY8" s="97"/>
      <c r="AZ8" s="97"/>
      <c r="BA8" s="97"/>
      <c r="BB8" s="97"/>
      <c r="BC8" s="97"/>
      <c r="BD8" s="97"/>
      <c r="BE8" s="97"/>
      <c r="BF8" s="97"/>
      <c r="BG8" s="97"/>
      <c r="BH8" s="97"/>
      <c r="BI8" s="97"/>
      <c r="BJ8" s="97"/>
      <c r="BK8" s="97"/>
      <c r="BL8" s="97"/>
      <c r="BM8" s="97"/>
      <c r="BN8" s="97"/>
      <c r="BO8" s="97"/>
      <c r="BP8" s="97"/>
    </row>
    <row r="9" spans="1:68" s="11" customFormat="1" ht="30" customHeight="1" x14ac:dyDescent="0.25">
      <c r="A9" s="1" t="s">
        <v>6</v>
      </c>
      <c r="B9" s="49" t="s">
        <v>19</v>
      </c>
      <c r="C9" s="40"/>
      <c r="D9" s="41"/>
      <c r="E9" s="50"/>
      <c r="F9" s="34"/>
      <c r="G9" s="75"/>
      <c r="H9" s="75"/>
      <c r="I9" s="75"/>
      <c r="J9" s="75"/>
      <c r="K9" s="75"/>
      <c r="L9" s="83"/>
      <c r="M9" s="74"/>
      <c r="N9" s="75"/>
      <c r="O9" s="75"/>
      <c r="P9" s="75"/>
      <c r="Q9" s="75"/>
      <c r="R9" s="75"/>
      <c r="S9" s="83"/>
      <c r="T9" s="76"/>
      <c r="U9" s="75"/>
      <c r="V9" s="75"/>
      <c r="W9" s="75"/>
      <c r="X9" s="75"/>
      <c r="Y9" s="75"/>
      <c r="Z9" s="84"/>
      <c r="AA9" s="74"/>
      <c r="AB9" s="75"/>
      <c r="AC9" s="75"/>
      <c r="AD9" s="75"/>
      <c r="AE9" s="75"/>
      <c r="AF9" s="75"/>
      <c r="AG9" s="83"/>
      <c r="AH9" s="76"/>
      <c r="AI9" s="75"/>
      <c r="AJ9" s="75"/>
      <c r="AK9" s="75"/>
      <c r="AL9" s="75"/>
      <c r="AM9" s="75"/>
      <c r="AN9" s="84"/>
      <c r="AO9" s="74"/>
      <c r="AP9" s="75"/>
      <c r="AQ9" s="75"/>
      <c r="AR9" s="75"/>
      <c r="AS9" s="75"/>
      <c r="AT9" s="75"/>
      <c r="AU9" s="83"/>
      <c r="AV9" s="98"/>
      <c r="AW9" s="98"/>
      <c r="AX9" s="98"/>
      <c r="AY9" s="98"/>
      <c r="AZ9" s="98"/>
      <c r="BA9" s="98"/>
      <c r="BB9" s="98"/>
      <c r="BC9" s="98"/>
      <c r="BD9" s="98"/>
      <c r="BE9" s="98"/>
      <c r="BF9" s="98"/>
      <c r="BG9" s="98"/>
      <c r="BH9" s="98"/>
      <c r="BI9" s="98"/>
      <c r="BJ9" s="98"/>
      <c r="BK9" s="98"/>
      <c r="BL9" s="98"/>
      <c r="BM9" s="98"/>
      <c r="BN9" s="98"/>
      <c r="BO9" s="98"/>
      <c r="BP9" s="98"/>
    </row>
    <row r="10" spans="1:68" s="11" customFormat="1" ht="30" customHeight="1" x14ac:dyDescent="0.25">
      <c r="A10" s="1" t="s">
        <v>7</v>
      </c>
      <c r="B10" s="51" t="s">
        <v>16</v>
      </c>
      <c r="C10" s="43" t="s">
        <v>40</v>
      </c>
      <c r="D10" s="42">
        <v>46273</v>
      </c>
      <c r="E10" s="52">
        <v>46282</v>
      </c>
      <c r="F10" s="111"/>
      <c r="G10" s="71"/>
      <c r="H10" s="71"/>
      <c r="I10" s="112"/>
      <c r="J10" s="71"/>
      <c r="K10" s="71"/>
      <c r="L10" s="133"/>
      <c r="M10" s="134"/>
      <c r="N10" s="71"/>
      <c r="O10" s="112"/>
      <c r="P10" s="71"/>
      <c r="Q10" s="71"/>
      <c r="R10" s="71"/>
      <c r="S10" s="85"/>
      <c r="T10" s="77"/>
      <c r="U10" s="71"/>
      <c r="V10" s="71"/>
      <c r="W10" s="71"/>
      <c r="X10" s="71"/>
      <c r="Y10" s="71"/>
      <c r="Z10" s="86"/>
      <c r="AA10" s="70"/>
      <c r="AB10" s="71"/>
      <c r="AC10" s="71"/>
      <c r="AD10" s="71"/>
      <c r="AE10" s="71"/>
      <c r="AF10" s="71"/>
      <c r="AG10" s="85"/>
      <c r="AH10" s="77"/>
      <c r="AI10" s="71"/>
      <c r="AJ10" s="71"/>
      <c r="AK10" s="71"/>
      <c r="AL10" s="71"/>
      <c r="AM10" s="71"/>
      <c r="AN10" s="86"/>
      <c r="AO10" s="70"/>
      <c r="AP10" s="71"/>
      <c r="AQ10" s="71"/>
      <c r="AR10" s="71"/>
      <c r="AS10" s="71"/>
      <c r="AT10" s="71"/>
      <c r="AU10" s="85"/>
      <c r="AV10" s="99">
        <v>1</v>
      </c>
      <c r="AW10" s="99">
        <v>0.95</v>
      </c>
      <c r="AX10" s="99">
        <v>1</v>
      </c>
      <c r="AY10" s="99">
        <v>1</v>
      </c>
      <c r="AZ10" s="99">
        <v>1</v>
      </c>
      <c r="BA10" s="99">
        <v>1</v>
      </c>
      <c r="BB10" s="99">
        <v>1</v>
      </c>
      <c r="BC10" s="99">
        <v>1</v>
      </c>
      <c r="BD10" s="99">
        <v>1</v>
      </c>
      <c r="BE10" s="99">
        <v>1</v>
      </c>
      <c r="BF10" s="99">
        <v>1</v>
      </c>
      <c r="BG10" s="99">
        <v>1</v>
      </c>
      <c r="BH10" s="99">
        <v>1</v>
      </c>
      <c r="BI10" s="99">
        <v>1</v>
      </c>
      <c r="BJ10" s="99">
        <v>1</v>
      </c>
      <c r="BK10" s="99">
        <v>1</v>
      </c>
      <c r="BL10" s="99"/>
      <c r="BM10" s="99"/>
      <c r="BN10" s="99"/>
      <c r="BO10" s="99"/>
      <c r="BP10" s="99"/>
    </row>
    <row r="11" spans="1:68" s="11" customFormat="1" ht="30" customHeight="1" x14ac:dyDescent="0.25">
      <c r="A11" s="1" t="s">
        <v>8</v>
      </c>
      <c r="B11" s="56" t="s">
        <v>17</v>
      </c>
      <c r="C11" s="57" t="s">
        <v>40</v>
      </c>
      <c r="D11" s="58">
        <v>46280</v>
      </c>
      <c r="E11" s="59">
        <v>46289</v>
      </c>
      <c r="F11" s="70"/>
      <c r="G11" s="71"/>
      <c r="H11" s="71"/>
      <c r="I11" s="71"/>
      <c r="J11" s="71"/>
      <c r="K11" s="71"/>
      <c r="L11" s="133"/>
      <c r="M11" s="134"/>
      <c r="N11" s="71"/>
      <c r="O11" s="112"/>
      <c r="P11" s="112"/>
      <c r="Q11" s="71"/>
      <c r="R11" s="71"/>
      <c r="S11" s="85"/>
      <c r="T11" s="77"/>
      <c r="U11" s="71"/>
      <c r="V11" s="112"/>
      <c r="W11" s="71"/>
      <c r="X11" s="71"/>
      <c r="Y11" s="71"/>
      <c r="Z11" s="86"/>
      <c r="AA11" s="70"/>
      <c r="AB11" s="71"/>
      <c r="AC11" s="71"/>
      <c r="AD11" s="71"/>
      <c r="AE11" s="71"/>
      <c r="AF11" s="71"/>
      <c r="AG11" s="85"/>
      <c r="AH11" s="77"/>
      <c r="AI11" s="71"/>
      <c r="AJ11" s="71"/>
      <c r="AK11" s="71"/>
      <c r="AL11" s="71"/>
      <c r="AM11" s="71"/>
      <c r="AN11" s="86"/>
      <c r="AO11" s="70"/>
      <c r="AP11" s="71"/>
      <c r="AQ11" s="71"/>
      <c r="AR11" s="71"/>
      <c r="AS11" s="71"/>
      <c r="AT11" s="71"/>
      <c r="AU11" s="85"/>
      <c r="AV11" s="99">
        <v>0.6</v>
      </c>
      <c r="AW11" s="99">
        <v>0.2</v>
      </c>
      <c r="AX11" s="99">
        <v>0.7</v>
      </c>
      <c r="AY11" s="99">
        <v>1</v>
      </c>
      <c r="AZ11" s="99">
        <v>1</v>
      </c>
      <c r="BA11" s="99">
        <v>1</v>
      </c>
      <c r="BB11" s="99">
        <v>1</v>
      </c>
      <c r="BC11" s="99">
        <v>1</v>
      </c>
      <c r="BD11" s="99">
        <v>1</v>
      </c>
      <c r="BE11" s="99">
        <v>1</v>
      </c>
      <c r="BF11" s="99">
        <v>1</v>
      </c>
      <c r="BG11" s="99">
        <v>1</v>
      </c>
      <c r="BH11" s="99">
        <v>1</v>
      </c>
      <c r="BI11" s="99">
        <v>1</v>
      </c>
      <c r="BJ11" s="99">
        <v>1</v>
      </c>
      <c r="BK11" s="99">
        <v>1</v>
      </c>
      <c r="BL11" s="99"/>
      <c r="BM11" s="99"/>
      <c r="BN11" s="99"/>
      <c r="BO11" s="99"/>
      <c r="BP11" s="99"/>
    </row>
    <row r="12" spans="1:68" s="11" customFormat="1" ht="30" customHeight="1" x14ac:dyDescent="0.25">
      <c r="A12" s="1"/>
      <c r="B12" s="51" t="s">
        <v>18</v>
      </c>
      <c r="C12" s="43" t="s">
        <v>40</v>
      </c>
      <c r="D12" s="42">
        <v>46283</v>
      </c>
      <c r="E12" s="52">
        <v>46293</v>
      </c>
      <c r="F12" s="70"/>
      <c r="G12" s="71"/>
      <c r="H12" s="71"/>
      <c r="I12" s="71"/>
      <c r="J12" s="71"/>
      <c r="K12" s="86"/>
      <c r="L12" s="135"/>
      <c r="M12" s="70"/>
      <c r="N12" s="86"/>
      <c r="O12" s="131"/>
      <c r="P12" s="132"/>
      <c r="Q12" s="71"/>
      <c r="R12" s="71"/>
      <c r="S12" s="85"/>
      <c r="T12" s="77"/>
      <c r="U12" s="86"/>
      <c r="V12" s="112"/>
      <c r="W12" s="112"/>
      <c r="X12" s="77"/>
      <c r="Y12" s="86"/>
      <c r="Z12" s="133"/>
      <c r="AA12" s="70"/>
      <c r="AB12" s="71"/>
      <c r="AC12" s="71"/>
      <c r="AD12" s="71"/>
      <c r="AE12" s="71"/>
      <c r="AF12" s="71"/>
      <c r="AG12" s="85"/>
      <c r="AH12" s="77"/>
      <c r="AI12" s="71"/>
      <c r="AJ12" s="71"/>
      <c r="AK12" s="71"/>
      <c r="AL12" s="71"/>
      <c r="AM12" s="71"/>
      <c r="AN12" s="86"/>
      <c r="AO12" s="70"/>
      <c r="AP12" s="71"/>
      <c r="AQ12" s="71"/>
      <c r="AR12" s="71"/>
      <c r="AS12" s="71"/>
      <c r="AT12" s="71"/>
      <c r="AU12" s="85"/>
      <c r="AV12" s="99">
        <v>0</v>
      </c>
      <c r="AW12" s="98"/>
      <c r="AX12" s="99">
        <v>0</v>
      </c>
      <c r="AY12" s="99">
        <v>0.05</v>
      </c>
      <c r="AZ12" s="99">
        <v>0.15</v>
      </c>
      <c r="BA12" s="99">
        <v>0.2</v>
      </c>
      <c r="BB12" s="99">
        <v>0.6</v>
      </c>
      <c r="BC12" s="99">
        <v>0.8</v>
      </c>
      <c r="BD12" s="99">
        <v>1</v>
      </c>
      <c r="BE12" s="99">
        <v>1</v>
      </c>
      <c r="BF12" s="99">
        <v>1</v>
      </c>
      <c r="BG12" s="99">
        <v>1</v>
      </c>
      <c r="BH12" s="99">
        <v>1</v>
      </c>
      <c r="BI12" s="99">
        <v>1</v>
      </c>
      <c r="BJ12" s="99">
        <v>1</v>
      </c>
      <c r="BK12" s="99">
        <v>1</v>
      </c>
      <c r="BL12" s="98"/>
      <c r="BM12" s="98"/>
      <c r="BN12" s="98"/>
      <c r="BO12" s="98"/>
      <c r="BP12" s="98"/>
    </row>
    <row r="13" spans="1:68" s="11" customFormat="1" ht="30" customHeight="1" thickBot="1" x14ac:dyDescent="0.3">
      <c r="A13" s="1"/>
      <c r="B13" s="56"/>
      <c r="C13" s="57" t="s">
        <v>14</v>
      </c>
      <c r="D13" s="60"/>
      <c r="E13" s="61"/>
      <c r="F13" s="72"/>
      <c r="G13" s="73"/>
      <c r="H13" s="73"/>
      <c r="I13" s="73"/>
      <c r="J13" s="73"/>
      <c r="K13" s="73"/>
      <c r="L13" s="87"/>
      <c r="M13" s="72"/>
      <c r="N13" s="73"/>
      <c r="O13" s="73"/>
      <c r="P13" s="73"/>
      <c r="Q13" s="73"/>
      <c r="R13" s="73"/>
      <c r="S13" s="87"/>
      <c r="T13" s="78"/>
      <c r="U13" s="73"/>
      <c r="V13" s="73"/>
      <c r="W13" s="73"/>
      <c r="X13" s="73"/>
      <c r="Y13" s="73"/>
      <c r="Z13" s="88"/>
      <c r="AA13" s="72"/>
      <c r="AB13" s="73"/>
      <c r="AC13" s="73"/>
      <c r="AD13" s="73"/>
      <c r="AE13" s="73"/>
      <c r="AF13" s="73"/>
      <c r="AG13" s="87"/>
      <c r="AH13" s="78"/>
      <c r="AI13" s="73"/>
      <c r="AJ13" s="73"/>
      <c r="AK13" s="73"/>
      <c r="AL13" s="73"/>
      <c r="AM13" s="73"/>
      <c r="AN13" s="88"/>
      <c r="AO13" s="72"/>
      <c r="AP13" s="73"/>
      <c r="AQ13" s="73"/>
      <c r="AR13" s="73"/>
      <c r="AS13" s="73"/>
      <c r="AT13" s="73"/>
      <c r="AU13" s="87"/>
      <c r="AV13" s="98"/>
      <c r="AW13" s="98"/>
      <c r="AX13" s="98"/>
      <c r="AY13" s="98"/>
      <c r="AZ13" s="98"/>
      <c r="BA13" s="98"/>
      <c r="BB13" s="98"/>
      <c r="BC13" s="98"/>
      <c r="BD13" s="98"/>
      <c r="BE13" s="98"/>
      <c r="BF13" s="98"/>
      <c r="BG13" s="98"/>
      <c r="BH13" s="98"/>
      <c r="BI13" s="98"/>
      <c r="BJ13" s="98"/>
      <c r="BK13" s="99"/>
      <c r="BL13" s="98"/>
      <c r="BM13" s="98"/>
      <c r="BN13" s="98"/>
      <c r="BO13" s="98"/>
      <c r="BP13" s="98"/>
    </row>
    <row r="14" spans="1:68" s="11" customFormat="1" ht="30" customHeight="1" x14ac:dyDescent="0.25">
      <c r="A14" s="1" t="s">
        <v>9</v>
      </c>
      <c r="B14" s="62" t="s">
        <v>23</v>
      </c>
      <c r="C14" s="63"/>
      <c r="D14" s="64"/>
      <c r="E14" s="65"/>
      <c r="F14" s="34"/>
      <c r="G14" s="75"/>
      <c r="H14" s="75"/>
      <c r="I14" s="75"/>
      <c r="J14" s="75"/>
      <c r="K14" s="75"/>
      <c r="L14" s="83"/>
      <c r="M14" s="74"/>
      <c r="N14" s="75"/>
      <c r="O14" s="75"/>
      <c r="P14" s="75"/>
      <c r="Q14" s="75"/>
      <c r="R14" s="75"/>
      <c r="S14" s="83"/>
      <c r="T14" s="76"/>
      <c r="U14" s="75"/>
      <c r="V14" s="75"/>
      <c r="W14" s="75"/>
      <c r="X14" s="75"/>
      <c r="Y14" s="75"/>
      <c r="Z14" s="84"/>
      <c r="AA14" s="74"/>
      <c r="AB14" s="75"/>
      <c r="AC14" s="75"/>
      <c r="AD14" s="75"/>
      <c r="AE14" s="75"/>
      <c r="AF14" s="75"/>
      <c r="AG14" s="83"/>
      <c r="AH14" s="76"/>
      <c r="AI14" s="75"/>
      <c r="AJ14" s="75"/>
      <c r="AK14" s="75"/>
      <c r="AL14" s="75"/>
      <c r="AM14" s="75"/>
      <c r="AN14" s="84"/>
      <c r="AO14" s="74"/>
      <c r="AP14" s="75"/>
      <c r="AQ14" s="75"/>
      <c r="AR14" s="75"/>
      <c r="AS14" s="75"/>
      <c r="AT14" s="75"/>
      <c r="AU14" s="83"/>
      <c r="AV14" s="98"/>
      <c r="AW14" s="98"/>
      <c r="AX14" s="98"/>
      <c r="AY14" s="98"/>
      <c r="AZ14" s="98"/>
      <c r="BA14" s="98"/>
      <c r="BB14" s="98"/>
      <c r="BC14" s="98"/>
      <c r="BD14" s="98"/>
      <c r="BE14" s="98"/>
      <c r="BF14" s="98"/>
      <c r="BG14" s="98"/>
      <c r="BH14" s="98"/>
      <c r="BI14" s="98"/>
      <c r="BJ14" s="98"/>
      <c r="BK14" s="99"/>
      <c r="BL14" s="98"/>
      <c r="BM14" s="98"/>
      <c r="BN14" s="98"/>
      <c r="BO14" s="98"/>
      <c r="BP14" s="98"/>
    </row>
    <row r="15" spans="1:68" s="11" customFormat="1" ht="30" customHeight="1" x14ac:dyDescent="0.25">
      <c r="A15" s="1"/>
      <c r="B15" s="53" t="s">
        <v>20</v>
      </c>
      <c r="C15" s="20" t="s">
        <v>13</v>
      </c>
      <c r="D15" s="21">
        <v>46294</v>
      </c>
      <c r="E15" s="54">
        <v>46302</v>
      </c>
      <c r="F15" s="35"/>
      <c r="G15" s="71"/>
      <c r="H15" s="71"/>
      <c r="I15" s="71"/>
      <c r="J15" s="71"/>
      <c r="K15" s="71"/>
      <c r="L15" s="85"/>
      <c r="M15" s="70"/>
      <c r="N15" s="71"/>
      <c r="O15" s="71"/>
      <c r="P15" s="71"/>
      <c r="Q15" s="71"/>
      <c r="R15" s="71"/>
      <c r="S15" s="85"/>
      <c r="T15" s="77"/>
      <c r="U15" s="71"/>
      <c r="V15" s="71"/>
      <c r="W15" s="71"/>
      <c r="X15" s="71"/>
      <c r="Y15" s="71"/>
      <c r="Z15" s="86"/>
      <c r="AA15" s="140"/>
      <c r="AB15" s="141"/>
      <c r="AC15" s="141"/>
      <c r="AD15" s="142"/>
      <c r="AE15" s="71"/>
      <c r="AF15" s="71"/>
      <c r="AG15" s="137"/>
      <c r="AH15" s="138"/>
      <c r="AI15" s="136"/>
      <c r="AJ15" s="136"/>
      <c r="AK15" s="71"/>
      <c r="AL15" s="71"/>
      <c r="AM15" s="71"/>
      <c r="AN15" s="86"/>
      <c r="AO15" s="134"/>
      <c r="AP15" s="71"/>
      <c r="AQ15" s="71"/>
      <c r="AR15" s="71"/>
      <c r="AS15" s="71"/>
      <c r="AT15" s="71"/>
      <c r="AU15" s="85"/>
      <c r="AV15" s="99">
        <v>0</v>
      </c>
      <c r="AW15" s="99">
        <v>0</v>
      </c>
      <c r="AX15" s="99">
        <v>0</v>
      </c>
      <c r="AY15" s="99">
        <v>0</v>
      </c>
      <c r="AZ15" s="99">
        <v>0</v>
      </c>
      <c r="BA15" s="99">
        <v>0</v>
      </c>
      <c r="BB15" s="99">
        <v>0</v>
      </c>
      <c r="BC15" s="99">
        <v>0.15</v>
      </c>
      <c r="BD15" s="99">
        <v>0.3</v>
      </c>
      <c r="BE15" s="99">
        <v>0.7</v>
      </c>
      <c r="BF15" s="99">
        <v>0.85</v>
      </c>
      <c r="BG15" s="99">
        <v>0.9</v>
      </c>
      <c r="BH15" s="99">
        <v>0.9</v>
      </c>
      <c r="BI15" s="99">
        <v>1</v>
      </c>
      <c r="BJ15" s="99">
        <v>1</v>
      </c>
      <c r="BK15" s="99">
        <v>1</v>
      </c>
      <c r="BL15" s="98"/>
      <c r="BM15" s="98"/>
      <c r="BN15" s="98"/>
      <c r="BO15" s="98"/>
      <c r="BP15" s="98"/>
    </row>
    <row r="16" spans="1:68" s="11" customFormat="1" ht="30" customHeight="1" x14ac:dyDescent="0.25">
      <c r="A16" s="8"/>
      <c r="B16" s="66" t="s">
        <v>21</v>
      </c>
      <c r="C16" s="67" t="s">
        <v>13</v>
      </c>
      <c r="D16" s="68">
        <v>46303</v>
      </c>
      <c r="E16" s="69">
        <v>46309</v>
      </c>
      <c r="F16" s="35"/>
      <c r="G16" s="71"/>
      <c r="H16" s="71"/>
      <c r="I16" s="71"/>
      <c r="J16" s="71"/>
      <c r="K16" s="71"/>
      <c r="L16" s="85"/>
      <c r="M16" s="70"/>
      <c r="N16" s="71"/>
      <c r="O16" s="71"/>
      <c r="P16" s="71"/>
      <c r="Q16" s="71"/>
      <c r="R16" s="71"/>
      <c r="S16" s="85"/>
      <c r="T16" s="77"/>
      <c r="U16" s="71"/>
      <c r="V16" s="71"/>
      <c r="W16" s="71"/>
      <c r="X16" s="71"/>
      <c r="Y16" s="71"/>
      <c r="Z16" s="86"/>
      <c r="AA16" s="70"/>
      <c r="AB16" s="71"/>
      <c r="AC16" s="71"/>
      <c r="AD16" s="71"/>
      <c r="AE16" s="71"/>
      <c r="AF16" s="71"/>
      <c r="AG16" s="85"/>
      <c r="AH16" s="77"/>
      <c r="AI16" s="71"/>
      <c r="AJ16" s="136"/>
      <c r="AK16" s="71"/>
      <c r="AL16" s="71"/>
      <c r="AM16" s="71"/>
      <c r="AN16" s="86"/>
      <c r="AO16" s="139"/>
      <c r="AP16" s="112"/>
      <c r="AQ16" s="71"/>
      <c r="AR16" s="71"/>
      <c r="AS16" s="71"/>
      <c r="AT16" s="71"/>
      <c r="AU16" s="85"/>
      <c r="AV16" s="99">
        <v>0</v>
      </c>
      <c r="AW16" s="99">
        <v>0</v>
      </c>
      <c r="AX16" s="99">
        <v>0</v>
      </c>
      <c r="AY16" s="99">
        <v>0</v>
      </c>
      <c r="AZ16" s="99">
        <v>0</v>
      </c>
      <c r="BA16" s="99">
        <v>0</v>
      </c>
      <c r="BB16" s="99">
        <v>0</v>
      </c>
      <c r="BC16" s="99">
        <v>0</v>
      </c>
      <c r="BD16" s="99">
        <v>0</v>
      </c>
      <c r="BE16" s="99">
        <v>0</v>
      </c>
      <c r="BF16" s="99">
        <v>0</v>
      </c>
      <c r="BG16" s="99">
        <v>0</v>
      </c>
      <c r="BH16" s="99">
        <v>0</v>
      </c>
      <c r="BI16" s="99">
        <v>0</v>
      </c>
      <c r="BJ16" s="99">
        <v>0.9</v>
      </c>
      <c r="BK16" s="99">
        <v>1</v>
      </c>
      <c r="BL16" s="98"/>
      <c r="BM16" s="98"/>
      <c r="BN16" s="98"/>
      <c r="BO16" s="98"/>
      <c r="BP16" s="98"/>
    </row>
    <row r="17" spans="1:68" s="11" customFormat="1" ht="30" customHeight="1" x14ac:dyDescent="0.25">
      <c r="A17" s="8"/>
      <c r="B17" s="53" t="s">
        <v>22</v>
      </c>
      <c r="C17" s="20" t="s">
        <v>13</v>
      </c>
      <c r="D17" s="21">
        <v>46310</v>
      </c>
      <c r="E17" s="54">
        <v>46310</v>
      </c>
      <c r="F17" s="35"/>
      <c r="G17" s="71"/>
      <c r="H17" s="71"/>
      <c r="I17" s="71"/>
      <c r="J17" s="71"/>
      <c r="K17" s="71"/>
      <c r="L17" s="85"/>
      <c r="M17" s="70"/>
      <c r="N17" s="71"/>
      <c r="O17" s="71"/>
      <c r="P17" s="71"/>
      <c r="Q17" s="71"/>
      <c r="R17" s="71"/>
      <c r="S17" s="85"/>
      <c r="T17" s="77"/>
      <c r="U17" s="71"/>
      <c r="V17" s="71"/>
      <c r="W17" s="71"/>
      <c r="X17" s="71"/>
      <c r="Y17" s="71"/>
      <c r="Z17" s="86"/>
      <c r="AA17" s="70"/>
      <c r="AB17" s="71"/>
      <c r="AC17" s="71"/>
      <c r="AD17" s="71"/>
      <c r="AE17" s="71"/>
      <c r="AF17" s="71"/>
      <c r="AG17" s="85"/>
      <c r="AH17" s="77"/>
      <c r="AI17" s="71"/>
      <c r="AJ17" s="71"/>
      <c r="AK17" s="71"/>
      <c r="AL17" s="71"/>
      <c r="AM17" s="71"/>
      <c r="AN17" s="86"/>
      <c r="AO17" s="70"/>
      <c r="AP17" s="71"/>
      <c r="AQ17" s="136"/>
      <c r="AR17" s="71"/>
      <c r="AS17" s="71"/>
      <c r="AT17" s="71"/>
      <c r="AU17" s="85"/>
      <c r="AV17" s="99">
        <v>0</v>
      </c>
      <c r="AW17" s="99">
        <v>0</v>
      </c>
      <c r="AX17" s="99">
        <v>0</v>
      </c>
      <c r="AY17" s="99">
        <v>0</v>
      </c>
      <c r="AZ17" s="99">
        <v>0</v>
      </c>
      <c r="BA17" s="99">
        <v>0</v>
      </c>
      <c r="BB17" s="99">
        <v>0</v>
      </c>
      <c r="BC17" s="99">
        <v>0</v>
      </c>
      <c r="BD17" s="99">
        <v>0</v>
      </c>
      <c r="BE17" s="99">
        <v>0</v>
      </c>
      <c r="BF17" s="99">
        <v>0</v>
      </c>
      <c r="BG17" s="99">
        <v>0</v>
      </c>
      <c r="BH17" s="99">
        <v>0</v>
      </c>
      <c r="BI17" s="99">
        <v>0</v>
      </c>
      <c r="BJ17" s="99">
        <v>0</v>
      </c>
      <c r="BK17" s="99"/>
      <c r="BL17" s="98"/>
      <c r="BM17" s="98"/>
      <c r="BN17" s="98"/>
      <c r="BO17" s="98"/>
      <c r="BP17" s="98"/>
    </row>
    <row r="18" spans="1:68" s="11" customFormat="1" ht="30" customHeight="1" x14ac:dyDescent="0.25">
      <c r="A18" s="8"/>
      <c r="B18" s="93"/>
      <c r="C18" s="94" t="s">
        <v>13</v>
      </c>
      <c r="D18" s="95"/>
      <c r="E18" s="96"/>
      <c r="F18" s="44"/>
      <c r="G18" s="80"/>
      <c r="H18" s="80"/>
      <c r="I18" s="80"/>
      <c r="J18" s="80"/>
      <c r="K18" s="80"/>
      <c r="L18" s="89"/>
      <c r="M18" s="81"/>
      <c r="N18" s="80"/>
      <c r="O18" s="80"/>
      <c r="P18" s="80"/>
      <c r="Q18" s="80"/>
      <c r="R18" s="80"/>
      <c r="S18" s="89"/>
      <c r="T18" s="79"/>
      <c r="U18" s="80"/>
      <c r="V18" s="80"/>
      <c r="W18" s="80"/>
      <c r="X18" s="80"/>
      <c r="Y18" s="80"/>
      <c r="Z18" s="90"/>
      <c r="AA18" s="81"/>
      <c r="AB18" s="80"/>
      <c r="AC18" s="80"/>
      <c r="AD18" s="80"/>
      <c r="AE18" s="80"/>
      <c r="AF18" s="80"/>
      <c r="AG18" s="89"/>
      <c r="AH18" s="79"/>
      <c r="AI18" s="80"/>
      <c r="AJ18" s="80"/>
      <c r="AK18" s="80"/>
      <c r="AL18" s="80"/>
      <c r="AM18" s="80"/>
      <c r="AN18" s="90"/>
      <c r="AO18" s="81"/>
      <c r="AP18" s="80"/>
      <c r="AQ18" s="80"/>
      <c r="AR18" s="80"/>
      <c r="AS18" s="80"/>
      <c r="AT18" s="80"/>
      <c r="AU18" s="89"/>
      <c r="AV18" s="100"/>
      <c r="AW18" s="100"/>
      <c r="AX18" s="100"/>
      <c r="AY18" s="100"/>
      <c r="AZ18" s="100"/>
      <c r="BA18" s="100"/>
      <c r="BB18" s="100"/>
      <c r="BC18" s="100"/>
      <c r="BD18" s="100"/>
      <c r="BE18" s="100"/>
      <c r="BF18" s="100"/>
      <c r="BG18" s="100"/>
      <c r="BH18" s="100"/>
      <c r="BI18" s="100"/>
      <c r="BJ18" s="100"/>
      <c r="BK18" s="100"/>
      <c r="BL18" s="100"/>
      <c r="BM18" s="100"/>
      <c r="BN18" s="100"/>
      <c r="BO18" s="100"/>
      <c r="BP18" s="100"/>
    </row>
    <row r="20" spans="1:68" ht="30" customHeight="1" x14ac:dyDescent="0.25">
      <c r="B20" s="110"/>
      <c r="C20" s="12"/>
      <c r="E20" s="13"/>
    </row>
    <row r="21" spans="1:68" ht="30" customHeight="1" x14ac:dyDescent="0.25">
      <c r="G21" s="129"/>
      <c r="H21" s="6" t="s">
        <v>39</v>
      </c>
    </row>
    <row r="22" spans="1:68" ht="30" customHeight="1" x14ac:dyDescent="0.3">
      <c r="E22" s="14" t="s">
        <v>26</v>
      </c>
    </row>
    <row r="23" spans="1:68" ht="30" customHeight="1" x14ac:dyDescent="0.35">
      <c r="E23" s="106" t="s">
        <v>29</v>
      </c>
      <c r="F23" s="104"/>
      <c r="G23" s="105"/>
      <c r="H23" s="105"/>
      <c r="I23" s="104"/>
      <c r="J23" s="105"/>
      <c r="K23" s="105"/>
      <c r="L23" s="104"/>
      <c r="M23" s="104"/>
      <c r="N23" s="105"/>
      <c r="O23" s="104"/>
      <c r="P23" s="104"/>
      <c r="Q23" s="105"/>
      <c r="R23" s="105"/>
      <c r="S23" s="105"/>
      <c r="T23" s="105"/>
      <c r="U23" s="105"/>
      <c r="V23" s="104"/>
      <c r="W23" s="104"/>
      <c r="X23" s="105"/>
      <c r="Y23" s="105"/>
      <c r="Z23" s="104"/>
      <c r="AA23" s="104"/>
      <c r="AB23" s="104"/>
      <c r="AC23" s="104"/>
      <c r="AD23" s="104"/>
      <c r="AE23" s="105"/>
      <c r="AF23" s="109"/>
      <c r="AG23" s="104"/>
      <c r="AH23" s="104"/>
      <c r="AI23" s="104"/>
      <c r="AJ23" s="104"/>
      <c r="AK23" s="109"/>
      <c r="AL23" s="109"/>
      <c r="AM23" s="109"/>
      <c r="AN23" s="109"/>
      <c r="AO23" s="104"/>
      <c r="AP23" s="104"/>
      <c r="AQ23" s="104"/>
      <c r="AR23" s="104"/>
      <c r="AS23" s="109"/>
      <c r="AT23" s="109"/>
      <c r="AU23" s="104"/>
    </row>
    <row r="24" spans="1:68" ht="30" customHeight="1" x14ac:dyDescent="0.35">
      <c r="E24" s="107" t="s">
        <v>30</v>
      </c>
      <c r="F24" s="104"/>
      <c r="G24" s="105"/>
      <c r="H24" s="105"/>
      <c r="I24" s="104"/>
      <c r="J24" s="105"/>
      <c r="K24" s="105"/>
      <c r="L24" s="104"/>
      <c r="M24" s="130" t="s">
        <v>38</v>
      </c>
      <c r="N24" s="105"/>
      <c r="O24" s="130" t="s">
        <v>38</v>
      </c>
      <c r="P24" s="130" t="s">
        <v>38</v>
      </c>
      <c r="Q24" s="105"/>
      <c r="R24" s="105"/>
      <c r="S24" s="105"/>
      <c r="T24" s="105"/>
      <c r="U24" s="105"/>
      <c r="V24" s="104"/>
      <c r="W24" s="104"/>
      <c r="X24" s="105"/>
      <c r="Y24" s="105"/>
      <c r="Z24" s="104"/>
      <c r="AA24" s="104"/>
      <c r="AB24" s="104"/>
      <c r="AC24" s="104"/>
      <c r="AD24" s="130" t="s">
        <v>38</v>
      </c>
      <c r="AE24" s="105"/>
      <c r="AF24" s="105"/>
      <c r="AG24" s="104"/>
      <c r="AH24" s="104"/>
      <c r="AI24" s="104"/>
      <c r="AJ24" s="104"/>
      <c r="AK24" s="105"/>
      <c r="AL24" s="105"/>
      <c r="AM24" s="105"/>
      <c r="AN24" s="105"/>
      <c r="AO24" s="108" t="s">
        <v>27</v>
      </c>
      <c r="AP24" s="108" t="s">
        <v>27</v>
      </c>
      <c r="AQ24" s="108" t="s">
        <v>27</v>
      </c>
      <c r="AR24" s="108" t="s">
        <v>27</v>
      </c>
      <c r="AS24" s="105"/>
      <c r="AT24" s="105"/>
      <c r="AU24" s="104"/>
    </row>
    <row r="25" spans="1:68" ht="30" customHeight="1" x14ac:dyDescent="0.35">
      <c r="E25" s="106" t="s">
        <v>31</v>
      </c>
      <c r="F25" s="104"/>
      <c r="G25" s="105"/>
      <c r="H25" s="105"/>
      <c r="I25" s="104"/>
      <c r="J25" s="105"/>
      <c r="K25" s="105"/>
      <c r="L25" s="104"/>
      <c r="M25" s="104"/>
      <c r="N25" s="105"/>
      <c r="O25" s="130" t="s">
        <v>38</v>
      </c>
      <c r="P25" s="130" t="s">
        <v>38</v>
      </c>
      <c r="Q25" s="105"/>
      <c r="R25" s="105"/>
      <c r="S25" s="105"/>
      <c r="T25" s="105"/>
      <c r="U25" s="105"/>
      <c r="V25" s="104"/>
      <c r="W25" s="104"/>
      <c r="X25" s="105"/>
      <c r="Y25" s="105"/>
      <c r="Z25" s="108" t="s">
        <v>27</v>
      </c>
      <c r="AA25" s="108" t="s">
        <v>27</v>
      </c>
      <c r="AB25" s="108" t="s">
        <v>27</v>
      </c>
      <c r="AC25" s="108" t="s">
        <v>27</v>
      </c>
      <c r="AD25" s="108" t="s">
        <v>27</v>
      </c>
      <c r="AE25" s="105"/>
      <c r="AF25" s="105"/>
      <c r="AG25" s="108" t="s">
        <v>27</v>
      </c>
      <c r="AH25" s="108" t="s">
        <v>27</v>
      </c>
      <c r="AI25" s="108" t="s">
        <v>27</v>
      </c>
      <c r="AJ25" s="108" t="s">
        <v>27</v>
      </c>
      <c r="AK25" s="105"/>
      <c r="AL25" s="105"/>
      <c r="AM25" s="105"/>
      <c r="AN25" s="105"/>
      <c r="AO25" s="108" t="s">
        <v>27</v>
      </c>
      <c r="AP25" s="108" t="s">
        <v>27</v>
      </c>
      <c r="AQ25" s="108" t="s">
        <v>27</v>
      </c>
      <c r="AR25" s="108" t="s">
        <v>27</v>
      </c>
      <c r="AS25" s="105"/>
      <c r="AT25" s="105"/>
      <c r="AU25" s="108" t="s">
        <v>27</v>
      </c>
    </row>
    <row r="26" spans="1:68" ht="30" customHeight="1" x14ac:dyDescent="0.35">
      <c r="E26" s="107" t="s">
        <v>32</v>
      </c>
      <c r="F26" s="104"/>
      <c r="G26" s="105"/>
      <c r="H26" s="105"/>
      <c r="I26" s="104"/>
      <c r="J26" s="105"/>
      <c r="K26" s="105"/>
      <c r="L26" s="104"/>
      <c r="M26" s="104"/>
      <c r="N26" s="105"/>
      <c r="O26" s="104"/>
      <c r="P26" s="104"/>
      <c r="Q26" s="105"/>
      <c r="R26" s="105"/>
      <c r="S26" s="105"/>
      <c r="T26" s="105"/>
      <c r="U26" s="105"/>
      <c r="V26" s="104"/>
      <c r="W26" s="104"/>
      <c r="X26" s="105"/>
      <c r="Y26" s="105"/>
      <c r="Z26" s="104"/>
      <c r="AA26" s="104"/>
      <c r="AB26" s="104"/>
      <c r="AC26" s="104"/>
      <c r="AD26" s="104"/>
      <c r="AE26" s="105"/>
      <c r="AF26" s="105"/>
      <c r="AG26" s="104"/>
      <c r="AH26" s="104"/>
      <c r="AI26" s="104"/>
      <c r="AJ26" s="104"/>
      <c r="AK26" s="105"/>
      <c r="AL26" s="105"/>
      <c r="AM26" s="105"/>
      <c r="AN26" s="105"/>
      <c r="AO26" s="104"/>
      <c r="AP26" s="104"/>
      <c r="AQ26" s="104"/>
      <c r="AR26" s="104"/>
      <c r="AS26" s="105"/>
      <c r="AT26" s="105"/>
      <c r="AU26" s="104"/>
    </row>
    <row r="27" spans="1:68" ht="30" customHeight="1" x14ac:dyDescent="0.35">
      <c r="E27" s="106" t="s">
        <v>33</v>
      </c>
      <c r="F27" s="104"/>
      <c r="G27" s="105"/>
      <c r="H27" s="105"/>
      <c r="I27" s="104"/>
      <c r="J27" s="105"/>
      <c r="K27" s="105"/>
      <c r="L27" s="104"/>
      <c r="M27" s="104"/>
      <c r="N27" s="105"/>
      <c r="O27" s="104"/>
      <c r="P27" s="104"/>
      <c r="Q27" s="105"/>
      <c r="R27" s="105"/>
      <c r="S27" s="105"/>
      <c r="T27" s="105"/>
      <c r="U27" s="105"/>
      <c r="V27" s="130" t="s">
        <v>38</v>
      </c>
      <c r="W27" s="104"/>
      <c r="X27" s="105"/>
      <c r="Y27" s="105"/>
      <c r="Z27" s="104"/>
      <c r="AA27" s="104"/>
      <c r="AB27" s="130" t="s">
        <v>38</v>
      </c>
      <c r="AC27" s="104"/>
      <c r="AD27" s="104"/>
      <c r="AE27" s="105"/>
      <c r="AF27" s="105"/>
      <c r="AG27" s="104"/>
      <c r="AH27" s="104"/>
      <c r="AI27" s="104"/>
      <c r="AJ27" s="143"/>
      <c r="AK27" s="105"/>
      <c r="AL27" s="105"/>
      <c r="AM27" s="105"/>
      <c r="AN27" s="105"/>
      <c r="AO27" s="104"/>
      <c r="AP27" s="104"/>
      <c r="AQ27" s="104"/>
      <c r="AR27" s="104"/>
      <c r="AS27" s="105"/>
      <c r="AT27" s="105"/>
      <c r="AU27" s="104"/>
    </row>
    <row r="28" spans="1:68" ht="30" customHeight="1" x14ac:dyDescent="0.35">
      <c r="E28" s="107" t="s">
        <v>34</v>
      </c>
      <c r="F28" s="104"/>
      <c r="G28" s="105"/>
      <c r="H28" s="105"/>
      <c r="I28" s="104"/>
      <c r="J28" s="105"/>
      <c r="K28" s="105"/>
      <c r="L28" s="104"/>
      <c r="M28" s="104"/>
      <c r="N28" s="105"/>
      <c r="O28" s="104"/>
      <c r="P28" s="104"/>
      <c r="Q28" s="105"/>
      <c r="R28" s="105"/>
      <c r="S28" s="105"/>
      <c r="T28" s="105"/>
      <c r="U28" s="105"/>
      <c r="V28" s="104"/>
      <c r="W28" s="130" t="s">
        <v>38</v>
      </c>
      <c r="X28" s="105"/>
      <c r="Y28" s="105"/>
      <c r="Z28" s="104"/>
      <c r="AA28" s="130" t="s">
        <v>41</v>
      </c>
      <c r="AB28" s="104"/>
      <c r="AC28" s="104"/>
      <c r="AD28" s="104"/>
      <c r="AE28" s="105"/>
      <c r="AF28" s="105"/>
      <c r="AG28" s="104"/>
      <c r="AH28" s="104"/>
      <c r="AI28" s="104"/>
      <c r="AJ28" s="104"/>
      <c r="AK28" s="105"/>
      <c r="AL28" s="105"/>
      <c r="AM28" s="105"/>
      <c r="AN28" s="105"/>
      <c r="AO28" s="130" t="s">
        <v>42</v>
      </c>
      <c r="AP28" s="130" t="s">
        <v>43</v>
      </c>
      <c r="AQ28" s="104"/>
      <c r="AR28" s="104"/>
      <c r="AS28" s="105"/>
      <c r="AT28" s="105"/>
      <c r="AU28" s="104"/>
    </row>
  </sheetData>
  <sheetProtection selectLockedCells="1" selectUnlockedCells="1"/>
  <mergeCells count="7">
    <mergeCell ref="AO5:AU5"/>
    <mergeCell ref="AH5:AN5"/>
    <mergeCell ref="D4:E4"/>
    <mergeCell ref="F5:L5"/>
    <mergeCell ref="M5:S5"/>
    <mergeCell ref="T5:Z5"/>
    <mergeCell ref="AA5:AG5"/>
  </mergeCells>
  <phoneticPr fontId="19"/>
  <conditionalFormatting sqref="F6:AU18">
    <cfRule type="expression" dxfId="18" priority="25">
      <formula>WEEKDAY(F$6,2)=6</formula>
    </cfRule>
    <cfRule type="expression" dxfId="17" priority="26">
      <formula>WEEKDAY(F$6,2)=7</formula>
    </cfRule>
  </conditionalFormatting>
  <conditionalFormatting sqref="G24:H28 J24:K28 N24:N28 Q24:U28 X24:Y28 AE24:AF28 AK24:AN28 AS23:AT28">
    <cfRule type="expression" dxfId="16" priority="21">
      <formula>WEEKDAY(G$6,2)=6</formula>
    </cfRule>
    <cfRule type="expression" dxfId="15" priority="22">
      <formula>WEEKDAY(G$6,2)=7</formula>
    </cfRule>
  </conditionalFormatting>
  <conditionalFormatting sqref="G23:H23 J23:K23 N23 Q23:U23 X23:Y23 AF23 AK23:AN23">
    <cfRule type="expression" dxfId="14" priority="17">
      <formula>WEEKDAY(G$6,2)=6</formula>
    </cfRule>
    <cfRule type="expression" dxfId="13" priority="18">
      <formula>WEEKDAY(G$6,2)=7</formula>
    </cfRule>
  </conditionalFormatting>
  <conditionalFormatting sqref="AE23">
    <cfRule type="expression" dxfId="12" priority="16">
      <formula>AND(AE$6&gt;=$D23,AE$6&lt;=$E23)</formula>
    </cfRule>
  </conditionalFormatting>
  <conditionalFormatting sqref="AE23">
    <cfRule type="expression" dxfId="11" priority="13">
      <formula>WEEKDAY(AE$6,2)=6</formula>
    </cfRule>
    <cfRule type="expression" dxfId="10" priority="14">
      <formula>WEEKDAY(AE$6,2)=7</formula>
    </cfRule>
  </conditionalFormatting>
  <conditionalFormatting sqref="I2">
    <cfRule type="expression" dxfId="9" priority="10">
      <formula>WEEKDAY(I$6,2)=6</formula>
    </cfRule>
    <cfRule type="expression" dxfId="8" priority="11">
      <formula>WEEKDAY(I$6,2)=7</formula>
    </cfRule>
  </conditionalFormatting>
  <conditionalFormatting sqref="M2">
    <cfRule type="expression" dxfId="7" priority="1">
      <formula>WEEKDAY(M$6,2)=6</formula>
    </cfRule>
    <cfRule type="expression" dxfId="6" priority="2">
      <formula>WEEKDAY(M$6,2)=7</formula>
    </cfRule>
  </conditionalFormatting>
  <dataValidations disablePrompts="1" count="1">
    <dataValidation type="whole" operator="greaterThanOrEqual" allowBlank="1" showInputMessage="1" promptTitle="週表示" prompt="この数字を変更すると、ガント チャート ビューがスクロールされます。" sqref="D5"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expression" priority="27" id="{E98B96B0-E5E7-4EE9-B7C1-56B675ED8709}">
            <xm:f>COUNTIF(祝日リスト!$A:$A, F$6)&gt;0</xm:f>
            <x14:dxf>
              <fill>
                <patternFill>
                  <bgColor theme="5" tint="0.79998168889431442"/>
                </patternFill>
              </fill>
            </x14:dxf>
          </x14:cfRule>
          <xm:sqref>F6:AU18</xm:sqref>
        </x14:conditionalFormatting>
        <x14:conditionalFormatting xmlns:xm="http://schemas.microsoft.com/office/excel/2006/main">
          <x14:cfRule type="expression" priority="23" id="{274BD6AE-E775-4CB0-A081-F947D5D49C44}">
            <xm:f>COUNTIF(祝日リスト!$A:$A, G$6)&gt;0</xm:f>
            <x14:dxf>
              <fill>
                <patternFill>
                  <bgColor theme="5" tint="0.79998168889431442"/>
                </patternFill>
              </fill>
            </x14:dxf>
          </x14:cfRule>
          <xm:sqref>G24:H28 J24:K28 N24:N28 Q24:U28 X24:Y28 AE24:AF28 AK24:AN28 AS23:AT28</xm:sqref>
        </x14:conditionalFormatting>
        <x14:conditionalFormatting xmlns:xm="http://schemas.microsoft.com/office/excel/2006/main">
          <x14:cfRule type="expression" priority="19" id="{7E6DEEE7-1AB8-40B4-ACD5-DA127562EF72}">
            <xm:f>COUNTIF(祝日リスト!$A:$A, G$6)&gt;0</xm:f>
            <x14:dxf>
              <fill>
                <patternFill>
                  <bgColor theme="5" tint="0.79998168889431442"/>
                </patternFill>
              </fill>
            </x14:dxf>
          </x14:cfRule>
          <xm:sqref>G23:H23 J23:K23 N23 Q23:U23 X23:Y23 AF23 AK23:AN23</xm:sqref>
        </x14:conditionalFormatting>
        <x14:conditionalFormatting xmlns:xm="http://schemas.microsoft.com/office/excel/2006/main">
          <x14:cfRule type="expression" priority="15" id="{7C7B5F20-6DC5-405D-8D36-969C769AA15F}">
            <xm:f>COUNTIF(祝日リスト!$A:$A, AE$6)&gt;0</xm:f>
            <x14:dxf>
              <fill>
                <patternFill>
                  <bgColor theme="5" tint="0.79998168889431442"/>
                </patternFill>
              </fill>
            </x14:dxf>
          </x14:cfRule>
          <xm:sqref>AE23</xm:sqref>
        </x14:conditionalFormatting>
        <x14:conditionalFormatting xmlns:xm="http://schemas.microsoft.com/office/excel/2006/main">
          <x14:cfRule type="expression" priority="12" id="{15F79FC8-96C8-45BD-95F7-5F976E48190C}">
            <xm:f>COUNTIF(祝日リスト!$A:$A, I$6)&gt;0</xm:f>
            <x14:dxf>
              <fill>
                <patternFill>
                  <bgColor theme="5" tint="0.79998168889431442"/>
                </patternFill>
              </fill>
            </x14:dxf>
          </x14:cfRule>
          <xm:sqref>I2</xm:sqref>
        </x14:conditionalFormatting>
        <x14:conditionalFormatting xmlns:xm="http://schemas.microsoft.com/office/excel/2006/main">
          <x14:cfRule type="expression" priority="3" id="{3A49E16D-1E62-4ED0-94F9-AA1AF1E7E9FF}">
            <xm:f>COUNTIF(祝日リスト!$A:$A, M$6)&gt;0</xm:f>
            <x14:dxf>
              <fill>
                <patternFill>
                  <bgColor theme="5" tint="0.79998168889431442"/>
                </patternFill>
              </fill>
            </x14:dxf>
          </x14:cfRule>
          <xm:sqref>M2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8887-CE6A-4A0E-8262-8920C09EEF86}">
  <dimension ref="A1"/>
  <sheetViews>
    <sheetView workbookViewId="0">
      <selection activeCell="B4" sqref="B4"/>
    </sheetView>
  </sheetViews>
  <sheetFormatPr defaultRowHeight="15.75" x14ac:dyDescent="0.25"/>
  <sheetData/>
  <phoneticPr fontId="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A2FC-300A-4B2A-BCE2-26C39F90CFA2}">
  <dimension ref="A1:A22"/>
  <sheetViews>
    <sheetView workbookViewId="0">
      <selection activeCell="A23" sqref="A23"/>
    </sheetView>
  </sheetViews>
  <sheetFormatPr defaultRowHeight="15.75" x14ac:dyDescent="0.25"/>
  <cols>
    <col min="1" max="1" width="10.77734375" bestFit="1" customWidth="1"/>
  </cols>
  <sheetData>
    <row r="1" spans="1:1" x14ac:dyDescent="0.25">
      <c r="A1" s="82">
        <v>46023</v>
      </c>
    </row>
    <row r="2" spans="1:1" x14ac:dyDescent="0.25">
      <c r="A2" s="82">
        <v>46034</v>
      </c>
    </row>
    <row r="3" spans="1:1" x14ac:dyDescent="0.25">
      <c r="A3" s="82">
        <v>46064</v>
      </c>
    </row>
    <row r="4" spans="1:1" x14ac:dyDescent="0.25">
      <c r="A4" s="82">
        <v>46076</v>
      </c>
    </row>
    <row r="5" spans="1:1" x14ac:dyDescent="0.25">
      <c r="A5" s="82">
        <v>46101</v>
      </c>
    </row>
    <row r="6" spans="1:1" x14ac:dyDescent="0.25">
      <c r="A6" s="82">
        <v>46141</v>
      </c>
    </row>
    <row r="7" spans="1:1" x14ac:dyDescent="0.25">
      <c r="A7" s="82">
        <v>46145</v>
      </c>
    </row>
    <row r="8" spans="1:1" x14ac:dyDescent="0.25">
      <c r="A8" s="82">
        <v>46146</v>
      </c>
    </row>
    <row r="9" spans="1:1" x14ac:dyDescent="0.25">
      <c r="A9" s="82">
        <v>46147</v>
      </c>
    </row>
    <row r="10" spans="1:1" x14ac:dyDescent="0.25">
      <c r="A10" s="82">
        <v>46223</v>
      </c>
    </row>
    <row r="11" spans="1:1" x14ac:dyDescent="0.25">
      <c r="A11" s="82">
        <v>46245</v>
      </c>
    </row>
    <row r="12" spans="1:1" x14ac:dyDescent="0.25">
      <c r="A12" s="82">
        <v>46274</v>
      </c>
    </row>
    <row r="13" spans="1:1" x14ac:dyDescent="0.25">
      <c r="A13" s="82">
        <v>46275</v>
      </c>
    </row>
    <row r="14" spans="1:1" x14ac:dyDescent="0.25">
      <c r="A14" s="82">
        <v>46281</v>
      </c>
    </row>
    <row r="15" spans="1:1" x14ac:dyDescent="0.25">
      <c r="A15" s="82">
        <v>46286</v>
      </c>
    </row>
    <row r="16" spans="1:1" x14ac:dyDescent="0.25">
      <c r="A16" s="82">
        <v>46287</v>
      </c>
    </row>
    <row r="17" spans="1:1" x14ac:dyDescent="0.25">
      <c r="A17" s="82">
        <v>46288</v>
      </c>
    </row>
    <row r="18" spans="1:1" x14ac:dyDescent="0.25">
      <c r="A18" s="82">
        <v>46304</v>
      </c>
    </row>
    <row r="19" spans="1:1" x14ac:dyDescent="0.25">
      <c r="A19" s="82">
        <v>46307</v>
      </c>
    </row>
    <row r="20" spans="1:1" x14ac:dyDescent="0.25">
      <c r="A20" s="82">
        <v>46329</v>
      </c>
    </row>
    <row r="21" spans="1:1" x14ac:dyDescent="0.25">
      <c r="A21" s="82">
        <v>46349</v>
      </c>
    </row>
    <row r="22" spans="1:1" x14ac:dyDescent="0.25">
      <c r="A22" s="82">
        <v>46379</v>
      </c>
    </row>
  </sheetData>
  <phoneticPr fontId="1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71af3243-3dd4-4a8d-8c0d-dd76da1f02a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スケジュール</vt:lpstr>
      <vt:lpstr>Sheet1</vt:lpstr>
      <vt:lpstr>祝日リスト</vt:lpstr>
      <vt:lpstr>スケジュール!Print_Titles</vt:lpstr>
      <vt:lpstr>スケジュール!タスク_開始</vt:lpstr>
      <vt:lpstr>スケジュール!タスク_終了</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2026-10-14T07:40:37Z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