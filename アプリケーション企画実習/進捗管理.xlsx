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C5542BCF-04DF-4D53-965D-FBA38BA20048}" xr6:coauthVersionLast="36" xr6:coauthVersionMax="47" xr10:uidLastSave="{00000000-0000-0000-0000-000000000000}"/>
  <bookViews>
    <workbookView xWindow="0" yWindow="0" windowWidth="28800" windowHeight="1126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<sst xmlns="http://schemas.openxmlformats.org/spreadsheetml/2006/main" count="99" uniqueCount="38">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</sst>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0">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s>
  <borders count="59">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37">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xf numFmtId="0" fontId="24" fillId="0" borderId="33"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0" fontId="24" fillId="48" borderId="33" xfId="0" applyFont="1" applyFill="1" applyBorder="1" applyAlignment="1">
      <alignment vertical="center"/>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76">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75"/>
      <tableStyleElement type="headerRow" dxfId="74"/>
      <tableStyleElement type="totalRow" dxfId="73"/>
      <tableStyleElement type="firstColumn" dxfId="72"/>
      <tableStyleElement type="lastColumn" dxfId="71"/>
      <tableStyleElement type="firstRowStripe" dxfId="70"/>
      <tableStyleElement type="secondRowStripe" dxfId="69"/>
      <tableStyleElement type="firstColumnStripe" dxfId="68"/>
      <tableStyleElement type="secondColumnStripe" dxfId="6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FFFF99"/>
      <color rgb="FFFFFFCC"/>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topLeftCell="A7" zoomScale="70" zoomScaleNormal="70" zoomScalePageLayoutView="70" workbookViewId="0">
      <pane xSplit="47" topLeftCell="AV1" activePane="topRight" state="frozen"/>
      <selection pane="topRight" activeCell="J23" sqref="J23"/>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bestFit="1"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9"/>
      <c r="J2" s="6" t="s">
        <v>36</v>
      </c>
      <c r="M2" s="126"/>
      <c r="N2" s="6" t="s">
        <v>37</v>
      </c>
    </row>
    <row r="3" spans="1:68" ht="10.9" customHeight="1" x14ac:dyDescent="0.45">
      <c r="B3" s="2"/>
      <c r="F3" s="10"/>
    </row>
    <row r="4" spans="1:68" ht="22.9" customHeight="1" x14ac:dyDescent="0.45">
      <c r="A4" s="8" t="s">
        <v>1</v>
      </c>
      <c r="B4" s="91"/>
      <c r="C4" s="92"/>
      <c r="D4" s="115"/>
      <c r="E4" s="115"/>
    </row>
    <row r="5" spans="1:68" ht="25.9" customHeight="1" x14ac:dyDescent="0.3">
      <c r="A5" s="1" t="s">
        <v>2</v>
      </c>
      <c r="B5" s="14" t="s">
        <v>28</v>
      </c>
      <c r="C5" s="15"/>
      <c r="D5" s="55"/>
      <c r="E5" s="14"/>
      <c r="F5" s="110">
        <f>D10</f>
        <v>46273</v>
      </c>
      <c r="G5" s="111"/>
      <c r="H5" s="111"/>
      <c r="I5" s="111"/>
      <c r="J5" s="111"/>
      <c r="K5" s="111"/>
      <c r="L5" s="112"/>
      <c r="M5" s="110">
        <f>M6</f>
        <v>46280</v>
      </c>
      <c r="N5" s="111"/>
      <c r="O5" s="111"/>
      <c r="P5" s="111"/>
      <c r="Q5" s="111"/>
      <c r="R5" s="111"/>
      <c r="S5" s="112"/>
      <c r="T5" s="113">
        <f>T6</f>
        <v>46287</v>
      </c>
      <c r="U5" s="111"/>
      <c r="V5" s="111"/>
      <c r="W5" s="111"/>
      <c r="X5" s="111"/>
      <c r="Y5" s="111"/>
      <c r="Z5" s="114"/>
      <c r="AA5" s="110">
        <f>AA6</f>
        <v>46294</v>
      </c>
      <c r="AB5" s="111"/>
      <c r="AC5" s="111"/>
      <c r="AD5" s="111"/>
      <c r="AE5" s="111"/>
      <c r="AF5" s="111"/>
      <c r="AG5" s="112"/>
      <c r="AH5" s="113">
        <f>AH6</f>
        <v>46301</v>
      </c>
      <c r="AI5" s="111"/>
      <c r="AJ5" s="111"/>
      <c r="AK5" s="111"/>
      <c r="AL5" s="111"/>
      <c r="AM5" s="111"/>
      <c r="AN5" s="114"/>
      <c r="AO5" s="110">
        <f>AO6</f>
        <v>46308</v>
      </c>
      <c r="AP5" s="111"/>
      <c r="AQ5" s="111"/>
      <c r="AR5" s="111"/>
      <c r="AS5" s="111"/>
      <c r="AT5" s="111"/>
      <c r="AU5" s="112"/>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27">
        <f>F5</f>
        <v>46273</v>
      </c>
      <c r="G6" s="25">
        <f>F6+1</f>
        <v>46274</v>
      </c>
      <c r="H6" s="25">
        <f t="shared" ref="H6:AN6" si="0">G6+1</f>
        <v>46275</v>
      </c>
      <c r="I6" s="129">
        <f t="shared" si="0"/>
        <v>46276</v>
      </c>
      <c r="J6" s="25">
        <f t="shared" si="0"/>
        <v>46277</v>
      </c>
      <c r="K6" s="22">
        <f t="shared" si="0"/>
        <v>46278</v>
      </c>
      <c r="L6" s="131">
        <f t="shared" si="0"/>
        <v>46279</v>
      </c>
      <c r="M6" s="127">
        <f>L6+1</f>
        <v>46280</v>
      </c>
      <c r="N6" s="25">
        <f>M6+1</f>
        <v>46281</v>
      </c>
      <c r="O6" s="129">
        <f t="shared" si="0"/>
        <v>46282</v>
      </c>
      <c r="P6" s="129">
        <f t="shared" si="0"/>
        <v>46283</v>
      </c>
      <c r="Q6" s="25">
        <f t="shared" si="0"/>
        <v>46284</v>
      </c>
      <c r="R6" s="24">
        <f t="shared" si="0"/>
        <v>46285</v>
      </c>
      <c r="S6" s="120">
        <f t="shared" si="0"/>
        <v>46286</v>
      </c>
      <c r="T6" s="28">
        <f>S6+1</f>
        <v>46287</v>
      </c>
      <c r="U6" s="25">
        <f>T6+1</f>
        <v>46288</v>
      </c>
      <c r="V6" s="129">
        <f t="shared" si="0"/>
        <v>46289</v>
      </c>
      <c r="W6" s="129">
        <f t="shared" si="0"/>
        <v>46290</v>
      </c>
      <c r="X6" s="25">
        <f t="shared" si="0"/>
        <v>46291</v>
      </c>
      <c r="Y6" s="24">
        <f t="shared" si="0"/>
        <v>46292</v>
      </c>
      <c r="Z6" s="133">
        <f t="shared" si="0"/>
        <v>46293</v>
      </c>
      <c r="AA6" s="127">
        <f>Z6+1</f>
        <v>46294</v>
      </c>
      <c r="AB6" s="129">
        <f>AA6+1</f>
        <v>46295</v>
      </c>
      <c r="AC6" s="129">
        <f t="shared" si="0"/>
        <v>46296</v>
      </c>
      <c r="AD6" s="129">
        <f t="shared" si="0"/>
        <v>46297</v>
      </c>
      <c r="AE6" s="25">
        <f t="shared" si="0"/>
        <v>46298</v>
      </c>
      <c r="AF6" s="24">
        <f t="shared" si="0"/>
        <v>46299</v>
      </c>
      <c r="AG6" s="131">
        <f t="shared" si="0"/>
        <v>46300</v>
      </c>
      <c r="AH6" s="135">
        <f>AG6+1</f>
        <v>46301</v>
      </c>
      <c r="AI6" s="129">
        <f>AH6+1</f>
        <v>46302</v>
      </c>
      <c r="AJ6" s="129">
        <f t="shared" si="0"/>
        <v>46303</v>
      </c>
      <c r="AK6" s="25">
        <f t="shared" si="0"/>
        <v>46304</v>
      </c>
      <c r="AL6" s="25">
        <f t="shared" si="0"/>
        <v>46305</v>
      </c>
      <c r="AM6" s="24">
        <f t="shared" si="0"/>
        <v>46306</v>
      </c>
      <c r="AN6" s="27">
        <f t="shared" si="0"/>
        <v>46307</v>
      </c>
      <c r="AO6" s="127">
        <f>AN6+1</f>
        <v>46308</v>
      </c>
      <c r="AP6" s="129">
        <f>AO6+1</f>
        <v>46309</v>
      </c>
      <c r="AQ6" s="129">
        <f t="shared" ref="AQ6" si="1">AP6+1</f>
        <v>46310</v>
      </c>
      <c r="AR6" s="129">
        <f t="shared" ref="AR6" si="2">AQ6+1</f>
        <v>46311</v>
      </c>
      <c r="AS6" s="25">
        <f t="shared" ref="AS6" si="3">AR6+1</f>
        <v>46312</v>
      </c>
      <c r="AT6" s="24">
        <f t="shared" ref="AT6" si="4">AS6+1</f>
        <v>46313</v>
      </c>
      <c r="AU6" s="31">
        <f t="shared" ref="AU6" si="5">AT6+1</f>
        <v>46314</v>
      </c>
      <c r="AV6" s="102">
        <v>46279</v>
      </c>
      <c r="AW6" s="102"/>
      <c r="AX6" s="102"/>
      <c r="AY6" s="102"/>
      <c r="AZ6" s="102"/>
      <c r="BA6" s="102"/>
      <c r="BB6" s="102"/>
      <c r="BC6" s="102"/>
      <c r="BD6" s="102"/>
      <c r="BE6" s="102"/>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8" t="str">
        <f t="shared" ref="F7:AK7" si="6">LEFT(TEXT(F6,"aaa"),1)</f>
        <v>火</v>
      </c>
      <c r="G7" s="23" t="str">
        <f t="shared" si="6"/>
        <v>水</v>
      </c>
      <c r="H7" s="23" t="str">
        <f t="shared" si="6"/>
        <v>木</v>
      </c>
      <c r="I7" s="130" t="str">
        <f t="shared" si="6"/>
        <v>金</v>
      </c>
      <c r="J7" s="23" t="str">
        <f t="shared" si="6"/>
        <v>土</v>
      </c>
      <c r="K7" s="124" t="str">
        <f t="shared" si="6"/>
        <v>日</v>
      </c>
      <c r="L7" s="132" t="str">
        <f t="shared" si="6"/>
        <v>月</v>
      </c>
      <c r="M7" s="128" t="str">
        <f t="shared" si="6"/>
        <v>火</v>
      </c>
      <c r="N7" s="23" t="str">
        <f t="shared" si="6"/>
        <v>水</v>
      </c>
      <c r="O7" s="130" t="str">
        <f t="shared" si="6"/>
        <v>木</v>
      </c>
      <c r="P7" s="130" t="str">
        <f t="shared" si="6"/>
        <v>金</v>
      </c>
      <c r="Q7" s="23" t="str">
        <f t="shared" si="6"/>
        <v>土</v>
      </c>
      <c r="R7" s="125" t="str">
        <f t="shared" si="6"/>
        <v>日</v>
      </c>
      <c r="S7" s="121" t="str">
        <f t="shared" si="6"/>
        <v>月</v>
      </c>
      <c r="T7" s="29" t="str">
        <f t="shared" si="6"/>
        <v>火</v>
      </c>
      <c r="U7" s="23" t="str">
        <f t="shared" si="6"/>
        <v>水</v>
      </c>
      <c r="V7" s="130" t="str">
        <f t="shared" si="6"/>
        <v>木</v>
      </c>
      <c r="W7" s="130" t="str">
        <f t="shared" si="6"/>
        <v>金</v>
      </c>
      <c r="X7" s="23" t="str">
        <f t="shared" si="6"/>
        <v>土</v>
      </c>
      <c r="Y7" s="125" t="str">
        <f t="shared" si="6"/>
        <v>日</v>
      </c>
      <c r="Z7" s="134" t="str">
        <f t="shared" si="6"/>
        <v>月</v>
      </c>
      <c r="AA7" s="128" t="str">
        <f t="shared" si="6"/>
        <v>火</v>
      </c>
      <c r="AB7" s="130" t="str">
        <f t="shared" si="6"/>
        <v>水</v>
      </c>
      <c r="AC7" s="130" t="str">
        <f t="shared" si="6"/>
        <v>木</v>
      </c>
      <c r="AD7" s="130" t="str">
        <f t="shared" si="6"/>
        <v>金</v>
      </c>
      <c r="AE7" s="23" t="str">
        <f t="shared" si="6"/>
        <v>土</v>
      </c>
      <c r="AF7" s="125" t="str">
        <f t="shared" si="6"/>
        <v>日</v>
      </c>
      <c r="AG7" s="132" t="str">
        <f t="shared" si="6"/>
        <v>月</v>
      </c>
      <c r="AH7" s="136" t="str">
        <f t="shared" si="6"/>
        <v>火</v>
      </c>
      <c r="AI7" s="130" t="str">
        <f t="shared" si="6"/>
        <v>水</v>
      </c>
      <c r="AJ7" s="130" t="str">
        <f t="shared" si="6"/>
        <v>木</v>
      </c>
      <c r="AK7" s="23" t="str">
        <f t="shared" si="6"/>
        <v>金</v>
      </c>
      <c r="AL7" s="23" t="str">
        <f t="shared" ref="AL7:AR7" si="7">LEFT(TEXT(AL6,"aaa"),1)</f>
        <v>土</v>
      </c>
      <c r="AM7" s="125" t="str">
        <f t="shared" si="7"/>
        <v>日</v>
      </c>
      <c r="AN7" s="122" t="str">
        <f t="shared" si="7"/>
        <v>月</v>
      </c>
      <c r="AO7" s="128" t="str">
        <f t="shared" si="7"/>
        <v>火</v>
      </c>
      <c r="AP7" s="130" t="str">
        <f t="shared" si="7"/>
        <v>水</v>
      </c>
      <c r="AQ7" s="130" t="str">
        <f t="shared" si="7"/>
        <v>木</v>
      </c>
      <c r="AR7" s="130" t="str">
        <f t="shared" si="7"/>
        <v>金</v>
      </c>
      <c r="AS7" s="23" t="str">
        <f t="shared" ref="AS7:AU7" si="8">LEFT(TEXT(AS6,"aaa"),1)</f>
        <v>土</v>
      </c>
      <c r="AT7" s="125" t="str">
        <f t="shared" si="8"/>
        <v>日</v>
      </c>
      <c r="AU7" s="123"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14</v>
      </c>
      <c r="D10" s="42">
        <v>46273</v>
      </c>
      <c r="E10" s="52">
        <v>46279</v>
      </c>
      <c r="F10" s="118"/>
      <c r="G10" s="71"/>
      <c r="H10" s="71"/>
      <c r="I10" s="119"/>
      <c r="J10" s="71"/>
      <c r="K10" s="71"/>
      <c r="L10" s="119"/>
      <c r="M10" s="116"/>
      <c r="N10" s="71"/>
      <c r="O10" s="71"/>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c r="AX10" s="99"/>
      <c r="AY10" s="99"/>
      <c r="AZ10" s="99"/>
      <c r="BA10" s="99"/>
      <c r="BB10" s="99"/>
      <c r="BC10" s="99"/>
      <c r="BD10" s="99"/>
      <c r="BE10" s="99"/>
      <c r="BF10" s="99"/>
      <c r="BG10" s="99"/>
      <c r="BH10" s="99"/>
      <c r="BI10" s="99"/>
      <c r="BJ10" s="99"/>
      <c r="BK10" s="99"/>
      <c r="BL10" s="99"/>
      <c r="BM10" s="99"/>
      <c r="BN10" s="99"/>
      <c r="BO10" s="99"/>
      <c r="BP10" s="99"/>
    </row>
    <row r="11" spans="1:68" s="11" customFormat="1" ht="30" customHeight="1" x14ac:dyDescent="0.25">
      <c r="A11" s="1" t="s">
        <v>8</v>
      </c>
      <c r="B11" s="56" t="s">
        <v>17</v>
      </c>
      <c r="C11" s="57" t="s">
        <v>14</v>
      </c>
      <c r="D11" s="58">
        <v>46280</v>
      </c>
      <c r="E11" s="59">
        <v>46283</v>
      </c>
      <c r="F11" s="70"/>
      <c r="G11" s="71"/>
      <c r="H11" s="71"/>
      <c r="I11" s="71"/>
      <c r="J11" s="71"/>
      <c r="K11" s="71"/>
      <c r="L11" s="119"/>
      <c r="M11" s="126"/>
      <c r="N11" s="71"/>
      <c r="O11" s="126"/>
      <c r="P11" s="71"/>
      <c r="Q11" s="71"/>
      <c r="R11" s="71"/>
      <c r="S11" s="85"/>
      <c r="T11" s="77"/>
      <c r="U11" s="71"/>
      <c r="V11" s="71"/>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c r="AX11" s="99"/>
      <c r="AY11" s="99"/>
      <c r="AZ11" s="99"/>
      <c r="BA11" s="99"/>
      <c r="BB11" s="99"/>
      <c r="BC11" s="99"/>
      <c r="BD11" s="99"/>
      <c r="BE11" s="99"/>
      <c r="BF11" s="99"/>
      <c r="BG11" s="99"/>
      <c r="BH11" s="99"/>
      <c r="BI11" s="99"/>
      <c r="BJ11" s="99"/>
      <c r="BK11" s="99"/>
      <c r="BL11" s="99"/>
      <c r="BM11" s="99"/>
      <c r="BN11" s="99"/>
      <c r="BO11" s="99"/>
      <c r="BP11" s="99"/>
    </row>
    <row r="12" spans="1:68" s="11" customFormat="1" ht="30" customHeight="1" x14ac:dyDescent="0.25">
      <c r="A12" s="1"/>
      <c r="B12" s="51" t="s">
        <v>18</v>
      </c>
      <c r="C12" s="43" t="s">
        <v>14</v>
      </c>
      <c r="D12" s="42">
        <v>46283</v>
      </c>
      <c r="E12" s="52">
        <v>46293</v>
      </c>
      <c r="F12" s="70"/>
      <c r="G12" s="71"/>
      <c r="H12" s="71"/>
      <c r="I12" s="71"/>
      <c r="J12" s="71"/>
      <c r="K12" s="71"/>
      <c r="L12" s="72"/>
      <c r="M12" s="72"/>
      <c r="N12" s="71"/>
      <c r="O12" s="126"/>
      <c r="P12" s="126"/>
      <c r="Q12" s="71"/>
      <c r="R12" s="71"/>
      <c r="S12" s="85"/>
      <c r="T12" s="77"/>
      <c r="U12" s="71"/>
      <c r="V12" s="126"/>
      <c r="W12" s="126"/>
      <c r="X12" s="71"/>
      <c r="Y12" s="71"/>
      <c r="Z12" s="126"/>
      <c r="AA12" s="70"/>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8"/>
      <c r="AY12" s="98"/>
      <c r="AZ12" s="98"/>
      <c r="BA12" s="98"/>
      <c r="BB12" s="98"/>
      <c r="BC12" s="98"/>
      <c r="BD12" s="98"/>
      <c r="BE12" s="98"/>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70"/>
      <c r="AB15" s="71"/>
      <c r="AC15" s="71"/>
      <c r="AD15" s="71"/>
      <c r="AE15" s="71"/>
      <c r="AF15" s="71"/>
      <c r="AG15" s="85"/>
      <c r="AH15" s="77"/>
      <c r="AI15" s="71"/>
      <c r="AJ15" s="71"/>
      <c r="AK15" s="71"/>
      <c r="AL15" s="71"/>
      <c r="AM15" s="71"/>
      <c r="AN15" s="86"/>
      <c r="AO15" s="70"/>
      <c r="AP15" s="71"/>
      <c r="AQ15" s="71"/>
      <c r="AR15" s="71"/>
      <c r="AS15" s="71"/>
      <c r="AT15" s="71"/>
      <c r="AU15" s="85"/>
      <c r="AV15" s="99">
        <v>0</v>
      </c>
      <c r="AW15" s="98"/>
      <c r="AX15" s="98"/>
      <c r="AY15" s="98"/>
      <c r="AZ15" s="98"/>
      <c r="BA15" s="98"/>
      <c r="BB15" s="98"/>
      <c r="BC15" s="98"/>
      <c r="BD15" s="98"/>
      <c r="BE15" s="98"/>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8"/>
      <c r="AX16" s="98"/>
      <c r="AY16" s="98"/>
      <c r="AZ16" s="98"/>
      <c r="BA16" s="98"/>
      <c r="BB16" s="98"/>
      <c r="BC16" s="98"/>
      <c r="BD16" s="98"/>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8"/>
      <c r="AX17" s="98"/>
      <c r="AY17" s="98"/>
      <c r="AZ17" s="98"/>
      <c r="BA17" s="98"/>
      <c r="BB17" s="98"/>
      <c r="BC17" s="98"/>
      <c r="BD17" s="98"/>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7"/>
      <c r="C20" s="12"/>
      <c r="E20" s="13"/>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04"/>
      <c r="N24" s="105"/>
      <c r="O24" s="104"/>
      <c r="P24" s="104"/>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04"/>
      <c r="P25" s="104"/>
      <c r="Q25" s="105"/>
      <c r="R25" s="105"/>
      <c r="S25" s="105"/>
      <c r="T25" s="105"/>
      <c r="U25" s="105"/>
      <c r="V25" s="108" t="s">
        <v>27</v>
      </c>
      <c r="W25" s="108" t="s">
        <v>27</v>
      </c>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04"/>
      <c r="W27" s="104"/>
      <c r="X27" s="105"/>
      <c r="Y27" s="105"/>
      <c r="Z27" s="104"/>
      <c r="AA27" s="104"/>
      <c r="AB27" s="104"/>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04"/>
      <c r="X28" s="105"/>
      <c r="Y28" s="105"/>
      <c r="Z28" s="104"/>
      <c r="AA28" s="104"/>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5" priority="25">
      <formula>WEEKDAY(F$6,2)=6</formula>
    </cfRule>
    <cfRule type="expression" dxfId="4" priority="26">
      <formula>WEEKDAY(F$6,2)=7</formula>
    </cfRule>
  </conditionalFormatting>
  <conditionalFormatting sqref="G24:H28 J24:K28 N24:N28 Q24:U28 X24:Y28 AE24:AF28 AK24:AN28 AS23:AT28">
    <cfRule type="expression" dxfId="24" priority="21">
      <formula>WEEKDAY(G$6,2)=6</formula>
    </cfRule>
    <cfRule type="expression" dxfId="23" priority="22">
      <formula>WEEKDAY(G$6,2)=7</formula>
    </cfRule>
  </conditionalFormatting>
  <conditionalFormatting sqref="G23:H23 J23:K23 N23 Q23:U23 X23:Y23 AF23 AK23:AN23">
    <cfRule type="expression" dxfId="22" priority="17">
      <formula>WEEKDAY(G$6,2)=6</formula>
    </cfRule>
    <cfRule type="expression" dxfId="21" priority="18">
      <formula>WEEKDAY(G$6,2)=7</formula>
    </cfRule>
  </conditionalFormatting>
  <conditionalFormatting sqref="AE23">
    <cfRule type="expression" dxfId="18" priority="16">
      <formula>AND(AE$6&gt;=$D23,AE$6&lt;=$E23)</formula>
    </cfRule>
  </conditionalFormatting>
  <conditionalFormatting sqref="AE23">
    <cfRule type="expression" dxfId="17" priority="13">
      <formula>WEEKDAY(AE$6,2)=6</formula>
    </cfRule>
    <cfRule type="expression" dxfId="16" priority="14">
      <formula>WEEKDAY(AE$6,2)=7</formula>
    </cfRule>
  </conditionalFormatting>
  <conditionalFormatting sqref="I2">
    <cfRule type="expression" dxfId="14" priority="10">
      <formula>WEEKDAY(I$6,2)=6</formula>
    </cfRule>
    <cfRule type="expression" dxfId="13" priority="11">
      <formula>WEEKDAY(I$6,2)=7</formula>
    </cfRule>
  </conditionalFormatting>
  <conditionalFormatting sqref="M2">
    <cfRule type="expression" dxfId="2" priority="1">
      <formula>WEEKDAY(M$6,2)=6</formula>
    </cfRule>
    <cfRule type="expression" dxfId="1"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purl.org/dc/elements/1.1/"/>
    <ds:schemaRef ds:uri="http://schemas.microsoft.com/office/2006/metadata/properties"/>
    <ds:schemaRef ds:uri="http://schemas.microsoft.com/sharepoint/v3"/>
    <ds:schemaRef ds:uri="230e9df3-be65-4c73-a93b-d1236ebd677e"/>
    <ds:schemaRef ds:uri="http://purl.org/dc/terms/"/>
    <ds:schemaRef ds:uri="http://schemas.openxmlformats.org/package/2006/metadata/core-properties"/>
    <ds:schemaRef ds:uri="16c05727-aa75-4e4a-9b5f-8a80a1165891"/>
    <ds:schemaRef ds:uri="http://schemas.microsoft.com/office/2006/documentManagement/types"/>
    <ds:schemaRef ds:uri="http://schemas.microsoft.com/office/infopath/2007/PartnerControls"/>
    <ds:schemaRef ds:uri="71af3243-3dd4-4a8d-8c0d-dd76da1f02a5"/>
    <ds:schemaRef ds:uri="http://www.w3.org/XML/1998/namespace"/>
    <ds:schemaRef ds:uri="http://purl.org/dc/dcmityp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2026-09-14T07:24:23Z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